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CpUDSC/"/>
    </mc:Choice>
  </mc:AlternateContent>
  <xr:revisionPtr revIDLastSave="135" documentId="8_{27BB1B78-CE79-4EDA-8439-1C0EB44FCEC2}" xr6:coauthVersionLast="47" xr6:coauthVersionMax="47" xr10:uidLastSave="{94B3F582-AB58-48DD-9510-1C3157A1D83B}"/>
  <bookViews>
    <workbookView xWindow="14295" yWindow="0" windowWidth="14610" windowHeight="15585" xr2:uid="{00000000-000D-0000-FFFF-FFFF00000000}"/>
  </bookViews>
  <sheets>
    <sheet name="About" sheetId="1" r:id="rId1"/>
    <sheet name="India Data" sheetId="7" r:id="rId2"/>
    <sheet name="India Calcs" sheetId="6" r:id="rId3"/>
    <sheet name="Soft Cost Data" sheetId="10" r:id="rId4"/>
    <sheet name="AC DC Derate Factor" sheetId="5" r:id="rId5"/>
    <sheet name="CpUDSC-totalcost" sheetId="2" r:id="rId6"/>
    <sheet name="CpUDSC-softcosts" sheetId="9" r:id="rId7"/>
  </sheets>
  <externalReferences>
    <externalReference r:id="rId8"/>
    <externalReference r:id="rId9"/>
  </externalReferences>
  <definedNames>
    <definedName name="INRCr">[2]Conversions!$E$116</definedName>
    <definedName name="INRLac">[1]Conversions!$E$113</definedName>
    <definedName name="plantsize.iv.a">'India Calcs'!$E$100</definedName>
    <definedName name="Preferences.PowerUnits">[1]Preferences!$C$5</definedName>
    <definedName name="Unit.kW">[1]Conversions!$F$57</definedName>
    <definedName name="Unit.MW">[2]Conversions!$F$66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33" i="9" s="1"/>
  <c r="B34" i="2"/>
  <c r="B34" i="9" s="1"/>
  <c r="B35" i="2"/>
  <c r="B35" i="9" s="1"/>
  <c r="B36" i="2"/>
  <c r="B36" i="9" s="1"/>
  <c r="B37" i="2"/>
  <c r="B37" i="9" s="1"/>
  <c r="B38" i="2"/>
  <c r="B38" i="9" s="1"/>
  <c r="B39" i="2"/>
  <c r="B39" i="9" s="1"/>
  <c r="B40" i="2"/>
  <c r="B40" i="9" s="1"/>
  <c r="B41" i="2"/>
  <c r="B41" i="9" s="1"/>
  <c r="B42" i="2"/>
  <c r="B42" i="9" s="1"/>
  <c r="B43" i="2"/>
  <c r="B43" i="9" s="1"/>
  <c r="B44" i="2"/>
  <c r="B44" i="9" s="1"/>
  <c r="B45" i="2"/>
  <c r="B45" i="9" s="1"/>
  <c r="B46" i="2"/>
  <c r="B46" i="9" s="1"/>
  <c r="B47" i="2"/>
  <c r="B47" i="9" s="1"/>
  <c r="B48" i="2"/>
  <c r="B48" i="9" s="1"/>
  <c r="B49" i="2"/>
  <c r="B49" i="9" s="1"/>
  <c r="B50" i="2"/>
  <c r="B50" i="9" s="1"/>
  <c r="B51" i="2"/>
  <c r="B51" i="9" s="1"/>
  <c r="B52" i="2"/>
  <c r="B52" i="9" s="1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88" i="6"/>
  <c r="M8" i="6"/>
  <c r="N8" i="6"/>
  <c r="O8" i="6"/>
  <c r="P8" i="6"/>
  <c r="Q8" i="6"/>
  <c r="M7" i="6"/>
  <c r="N7" i="6"/>
  <c r="O7" i="6"/>
  <c r="P7" i="6"/>
  <c r="Q7" i="6"/>
  <c r="U13" i="6"/>
  <c r="V13" i="6"/>
  <c r="W13" i="6"/>
  <c r="X13" i="6"/>
  <c r="Y13" i="6"/>
  <c r="Z13" i="6"/>
  <c r="AA13" i="6"/>
  <c r="AB13" i="6"/>
  <c r="U14" i="6"/>
  <c r="V14" i="6"/>
  <c r="W14" i="6"/>
  <c r="X14" i="6"/>
  <c r="Y14" i="6"/>
  <c r="Z14" i="6"/>
  <c r="AA14" i="6"/>
  <c r="AB14" i="6"/>
  <c r="U15" i="6"/>
  <c r="V15" i="6"/>
  <c r="W15" i="6"/>
  <c r="X15" i="6"/>
  <c r="Y15" i="6"/>
  <c r="Z15" i="6"/>
  <c r="AA15" i="6"/>
  <c r="AB15" i="6"/>
  <c r="R13" i="6"/>
  <c r="S13" i="6"/>
  <c r="T13" i="6"/>
  <c r="R14" i="6"/>
  <c r="S14" i="6"/>
  <c r="T14" i="6"/>
  <c r="R15" i="6"/>
  <c r="S15" i="6"/>
  <c r="T15" i="6"/>
  <c r="Q14" i="6"/>
  <c r="Q15" i="6"/>
  <c r="Q13" i="6"/>
  <c r="AB11" i="6"/>
  <c r="AA11" i="6"/>
  <c r="Z11" i="6"/>
  <c r="Y11" i="6"/>
  <c r="X11" i="6"/>
  <c r="W11" i="6"/>
  <c r="V11" i="6"/>
  <c r="U11" i="6"/>
  <c r="T11" i="6"/>
  <c r="S11" i="6"/>
  <c r="R11" i="6"/>
  <c r="AB9" i="6"/>
  <c r="AA9" i="6"/>
  <c r="Z9" i="6"/>
  <c r="Y9" i="6"/>
  <c r="X9" i="6"/>
  <c r="W9" i="6"/>
  <c r="V9" i="6"/>
  <c r="U9" i="6"/>
  <c r="T9" i="6"/>
  <c r="S9" i="6"/>
  <c r="R9" i="6"/>
  <c r="B44" i="6"/>
  <c r="C40" i="6"/>
  <c r="L7" i="6"/>
  <c r="G7" i="6"/>
  <c r="H7" i="6"/>
  <c r="I7" i="6"/>
  <c r="J7" i="6"/>
  <c r="K7" i="6"/>
  <c r="F7" i="6"/>
  <c r="B10" i="10"/>
  <c r="L8" i="6" l="1"/>
  <c r="G8" i="6"/>
  <c r="H8" i="6"/>
  <c r="I8" i="6"/>
  <c r="J8" i="6"/>
  <c r="K8" i="6"/>
  <c r="F8" i="6"/>
  <c r="C12" i="7"/>
  <c r="C7" i="7"/>
  <c r="C8" i="7" s="1"/>
  <c r="B12" i="6" l="1"/>
  <c r="C12" i="6" s="1"/>
  <c r="D12" i="6" s="1"/>
  <c r="E12" i="6" s="1"/>
  <c r="F12" i="6" s="1"/>
  <c r="G12" i="6" s="1"/>
  <c r="H12" i="6" s="1"/>
  <c r="C14" i="7"/>
  <c r="C22" i="6" l="1"/>
  <c r="C23" i="6" s="1"/>
  <c r="C24" i="6" s="1"/>
  <c r="C25" i="6" s="1"/>
  <c r="C26" i="6" s="1"/>
  <c r="C27" i="6" s="1"/>
  <c r="C28" i="6" s="1"/>
  <c r="C20" i="6"/>
  <c r="C19" i="6" s="1"/>
  <c r="C13" i="6" l="1"/>
  <c r="D13" i="6"/>
  <c r="D40" i="6" s="1"/>
  <c r="E13" i="6"/>
  <c r="E40" i="6" s="1"/>
  <c r="F13" i="6"/>
  <c r="F40" i="6" s="1"/>
  <c r="G13" i="6"/>
  <c r="G40" i="6" s="1"/>
  <c r="H13" i="6"/>
  <c r="H40" i="6" s="1"/>
  <c r="B47" i="6" l="1"/>
  <c r="B50" i="6"/>
  <c r="B46" i="6"/>
  <c r="B49" i="6"/>
  <c r="B45" i="6"/>
  <c r="B48" i="6"/>
  <c r="B13" i="6"/>
  <c r="B40" i="6" s="1"/>
  <c r="B83" i="6" l="1"/>
  <c r="B28" i="2" s="1"/>
  <c r="B28" i="9" s="1"/>
  <c r="B84" i="6"/>
  <c r="B29" i="2" s="1"/>
  <c r="B29" i="9" s="1"/>
  <c r="B86" i="6"/>
  <c r="B31" i="2" s="1"/>
  <c r="B31" i="9" s="1"/>
  <c r="B81" i="6"/>
  <c r="B26" i="2" s="1"/>
  <c r="B26" i="9" s="1"/>
  <c r="B87" i="6"/>
  <c r="B32" i="2" s="1"/>
  <c r="B32" i="9" s="1"/>
  <c r="B85" i="6"/>
  <c r="B30" i="2" s="1"/>
  <c r="B30" i="9" s="1"/>
  <c r="B80" i="6"/>
  <c r="B25" i="2" s="1"/>
  <c r="B25" i="9" s="1"/>
  <c r="B82" i="6"/>
  <c r="B27" i="2" s="1"/>
  <c r="B27" i="9" s="1"/>
  <c r="B69" i="6"/>
  <c r="B14" i="2" s="1"/>
  <c r="B14" i="9" s="1"/>
  <c r="B67" i="6"/>
  <c r="B12" i="2" s="1"/>
  <c r="B12" i="9" s="1"/>
  <c r="B68" i="6"/>
  <c r="B13" i="2" s="1"/>
  <c r="B13" i="9" s="1"/>
  <c r="B65" i="6"/>
  <c r="B10" i="2" s="1"/>
  <c r="B10" i="9" s="1"/>
  <c r="B66" i="6"/>
  <c r="B11" i="2" s="1"/>
  <c r="B11" i="9" s="1"/>
  <c r="B75" i="6"/>
  <c r="B20" i="2" s="1"/>
  <c r="B20" i="9" s="1"/>
  <c r="B76" i="6"/>
  <c r="B21" i="2" s="1"/>
  <c r="B21" i="9" s="1"/>
  <c r="B78" i="6"/>
  <c r="B23" i="2" s="1"/>
  <c r="B23" i="9" s="1"/>
  <c r="B79" i="6"/>
  <c r="B24" i="2" s="1"/>
  <c r="B24" i="9" s="1"/>
  <c r="B77" i="6"/>
  <c r="B22" i="2" s="1"/>
  <c r="B22" i="9" s="1"/>
  <c r="B60" i="6"/>
  <c r="B5" i="2" s="1"/>
  <c r="B5" i="9" s="1"/>
  <c r="B63" i="6"/>
  <c r="B8" i="2" s="1"/>
  <c r="B8" i="9" s="1"/>
  <c r="B62" i="6"/>
  <c r="B7" i="2" s="1"/>
  <c r="B7" i="9" s="1"/>
  <c r="B61" i="6"/>
  <c r="B6" i="2" s="1"/>
  <c r="B6" i="9" s="1"/>
  <c r="B64" i="6"/>
  <c r="B9" i="2" s="1"/>
  <c r="B9" i="9" s="1"/>
  <c r="B74" i="6"/>
  <c r="B19" i="2" s="1"/>
  <c r="B19" i="9" s="1"/>
  <c r="B73" i="6"/>
  <c r="B18" i="2" s="1"/>
  <c r="B18" i="9" s="1"/>
  <c r="B71" i="6"/>
  <c r="B16" i="2" s="1"/>
  <c r="B16" i="9" s="1"/>
  <c r="B72" i="6"/>
  <c r="B17" i="2" s="1"/>
  <c r="B17" i="9" s="1"/>
  <c r="B70" i="6"/>
  <c r="B15" i="2" s="1"/>
  <c r="B15" i="9" s="1"/>
  <c r="B57" i="6" l="1"/>
  <c r="B2" i="2" s="1"/>
  <c r="B2" i="9" s="1"/>
  <c r="B54" i="6"/>
  <c r="B59" i="6"/>
  <c r="B4" i="2" s="1"/>
  <c r="B4" i="9" s="1"/>
  <c r="B56" i="6"/>
  <c r="B55" i="6"/>
  <c r="B58" i="6"/>
  <c r="B3" i="2" s="1"/>
  <c r="B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 Richa</author>
  </authors>
  <commentList>
    <comment ref="E5" authorId="0" shapeId="0" xr:uid="{ADCE0948-1038-4EAA-98BF-AE950478D701}">
      <text>
        <r>
          <rPr>
            <sz val="11"/>
            <color theme="1"/>
            <rFont val="Calibri"/>
            <family val="2"/>
            <scheme val="minor"/>
          </rPr>
          <t>Richa Richa:
We can update this using 2022 Report.</t>
        </r>
      </text>
    </comment>
  </commentList>
</comments>
</file>

<file path=xl/sharedStrings.xml><?xml version="1.0" encoding="utf-8"?>
<sst xmlns="http://schemas.openxmlformats.org/spreadsheetml/2006/main" count="97" uniqueCount="90">
  <si>
    <t>CpUDSC Cost per Unit Distributed Solar Capacity</t>
  </si>
  <si>
    <t>Sources:</t>
  </si>
  <si>
    <t xml:space="preserve">Cost Scaling </t>
  </si>
  <si>
    <t xml:space="preserve">Benchmark Capital Costs </t>
  </si>
  <si>
    <t>NITI Aayog, Government of India</t>
  </si>
  <si>
    <t>Ministry of New &amp; Renewable Energy</t>
  </si>
  <si>
    <t>India Energy Security Scenarios 2047 downloadable Excel model</t>
  </si>
  <si>
    <t>Benchmark costs for Grid Connected Rooftop Solar Power Plants for the Year 2019- 20</t>
  </si>
  <si>
    <t>http://indiaenergy.gov.in/iess/docs/IESS_Version2.2.xlsx</t>
  </si>
  <si>
    <t>https://mnre.gov.in/sites/default/files/uploads/benchmark%20cost%202019-20%20%281%29.pdf</t>
  </si>
  <si>
    <t>Tab IV.e  (updated 2070)</t>
  </si>
  <si>
    <t>Solar DC to AC Derate Value</t>
  </si>
  <si>
    <t xml:space="preserve">O&amp;M Costs </t>
  </si>
  <si>
    <t>Jens Schoene, EnerNex</t>
  </si>
  <si>
    <t>Karnataka Electricity Regulatory Commission</t>
  </si>
  <si>
    <t>Production Levels of Utility-Scale and Residential-Scale PV Systems</t>
  </si>
  <si>
    <t>Generic Tariff Order for Solar PV Plants (Ground Mounted &amp; Solar Rooftop PV) for FY19</t>
  </si>
  <si>
    <t>http://brattle.com/system/publications/pdfs/000/005/188/original/Comparative_Generation_Costs_of_Utility-Scale_and_Residential-Scale_PV_in_Xcel_Energy_Colorado's_Service_Area.pdf?1436797265</t>
  </si>
  <si>
    <t>https://bescom.org/wp-content/uploads/2018/06/OMNew-SRTPV-tariff-for-entering-into-PPAs-from-01.04.2018-to-31.03.2019.pdf</t>
  </si>
  <si>
    <t xml:space="preserve">This document is included as Appendix B of a report by Brattle Group. </t>
  </si>
  <si>
    <t>Table 2(b), Page 22</t>
  </si>
  <si>
    <t>Page 10 of the EnerNex report (Page 70 of the PDF)</t>
  </si>
  <si>
    <t>Share of Costs that are Soft Costs</t>
  </si>
  <si>
    <t>NREL</t>
  </si>
  <si>
    <t>U.S. Solar Photovoltaic System Cost Benchmark: Q1 2018</t>
  </si>
  <si>
    <t>https://www.nrel.gov/docs/fy17osti/68925.pdf</t>
  </si>
  <si>
    <t>Page viii, Figure ES-2</t>
  </si>
  <si>
    <t>Notes</t>
  </si>
  <si>
    <t>We assume solar capacities are reported in DC, as is typical when most sources</t>
  </si>
  <si>
    <t>report distributed solar PV capacities.  Accordingly, we convert to AC using an</t>
  </si>
  <si>
    <t>appropriate derate factor.</t>
  </si>
  <si>
    <t>We use scaling factors from IESS's level 2 trajectory to project future costs.</t>
  </si>
  <si>
    <t>Since IESS was developed in 2015-16 and PV module costs have declined</t>
  </si>
  <si>
    <t>substantially since then, we estimate the base year cost from the most</t>
  </si>
  <si>
    <t>recent benchmark costs from MNRE.</t>
  </si>
  <si>
    <t xml:space="preserve">Benchmark (capital) costs are available for systems ranging residential, </t>
  </si>
  <si>
    <t>commercial, and industrial scales. We take an average of residential and</t>
  </si>
  <si>
    <t>commercial scales for the buildings sector.</t>
  </si>
  <si>
    <t>O&amp;M costs are estimated from a representative tariff order from a</t>
  </si>
  <si>
    <t>state electricity regulator. They are not included in the cost calculation but</t>
  </si>
  <si>
    <t>available here for future reference.</t>
  </si>
  <si>
    <t>Capacity</t>
  </si>
  <si>
    <t>Capital (Installation) Cost</t>
  </si>
  <si>
    <t>Residential</t>
  </si>
  <si>
    <t>1-10 kW</t>
  </si>
  <si>
    <t>INR/kW</t>
  </si>
  <si>
    <t>Commercial</t>
  </si>
  <si>
    <t>10-100 kW</t>
  </si>
  <si>
    <t>Industrial</t>
  </si>
  <si>
    <t>100-500 kW</t>
  </si>
  <si>
    <t>Average</t>
  </si>
  <si>
    <t>INR/MW</t>
  </si>
  <si>
    <t>Source: MNRE, 2019</t>
  </si>
  <si>
    <t>O&amp;M Cost</t>
  </si>
  <si>
    <t>Source: KERC, 2019</t>
  </si>
  <si>
    <t>Total Cost</t>
  </si>
  <si>
    <t>Capital cost of a 0.0001 GW solar plant</t>
  </si>
  <si>
    <t>Trillion INR</t>
  </si>
  <si>
    <t>Delta</t>
  </si>
  <si>
    <t>Low estimate</t>
  </si>
  <si>
    <t>Point estimate</t>
  </si>
  <si>
    <t>High estimate</t>
  </si>
  <si>
    <t>5yr decline rate</t>
  </si>
  <si>
    <t>Yearly decline rate</t>
  </si>
  <si>
    <t>2018-19</t>
  </si>
  <si>
    <t>Cap Cost (INR/MW DC)</t>
  </si>
  <si>
    <t>Cap Cost (INR/MW AC)</t>
  </si>
  <si>
    <t>Currency Conversion (for data sources, see scaling-factors.xlsx)</t>
  </si>
  <si>
    <t>India Inflation Rates</t>
  </si>
  <si>
    <t>Year</t>
  </si>
  <si>
    <t>Rate</t>
  </si>
  <si>
    <t>Value Indexed to 2012</t>
  </si>
  <si>
    <t>(2019 value is a current average, as Dec. vs. Dec Inflation rate is not available at the time of data updation)</t>
  </si>
  <si>
    <t>Rupees per dollar</t>
  </si>
  <si>
    <t>Cap Cost (2012USD/MW)</t>
  </si>
  <si>
    <t>Transposed:</t>
  </si>
  <si>
    <t>Interpolated:</t>
  </si>
  <si>
    <t>Solar PV</t>
  </si>
  <si>
    <t>Solar PV Type</t>
  </si>
  <si>
    <t>Non-Hardware Cost %</t>
  </si>
  <si>
    <t>Utility-Scale</t>
  </si>
  <si>
    <t>For distributed PV on buildings, we use the average</t>
  </si>
  <si>
    <t>of residential and commercial soft cost shares.</t>
  </si>
  <si>
    <t>Buildings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</si>
  <si>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</si>
  <si>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</si>
  <si>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</si>
  <si>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Unit: $/MW</t>
  </si>
  <si>
    <t>Distributed Solar Cap Cost ($/MW)</t>
  </si>
  <si>
    <t>Distributed Solar Soft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</si>
</sst>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_);\(#,##0\);&quot;-&quot;_);@"/>
    <numFmt numFmtId="166" formatCode="#,##0.000000_);\(#,##0.000000\);&quot;-&quot;_);@"/>
    <numFmt numFmtId="167" formatCode="#,##0.0000_);\(#,##0.0000\);&quot;-&quot;_);@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auto="1"/>
      </bottom>
      <diagonal/>
    </border>
  </borders>
  <cellStyleXfs count="14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1" fillId="3" borderId="0" xfId="0" applyFon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165" fontId="0" fillId="3" borderId="0" xfId="13" applyNumberFormat="1" applyFont="1" applyFill="1" applyBorder="1" applyAlignment="1">
      <alignment horizontal="right" vertical="center"/>
    </xf>
    <xf numFmtId="166" fontId="0" fillId="3" borderId="0" xfId="13" applyNumberFormat="1" applyFont="1" applyFill="1" applyBorder="1" applyAlignment="1">
      <alignment horizontal="right" vertical="center"/>
    </xf>
    <xf numFmtId="165" fontId="8" fillId="3" borderId="0" xfId="13" applyNumberFormat="1" applyFont="1" applyFill="1" applyBorder="1" applyAlignment="1">
      <alignment horizontal="right" vertical="center"/>
    </xf>
    <xf numFmtId="0" fontId="0" fillId="3" borderId="9" xfId="0" applyFill="1" applyBorder="1" applyAlignment="1">
      <alignment horizontal="right" vertical="center"/>
    </xf>
    <xf numFmtId="0" fontId="9" fillId="3" borderId="10" xfId="0" applyFont="1" applyFill="1" applyBorder="1" applyAlignment="1">
      <alignment horizontal="right" vertical="center"/>
    </xf>
    <xf numFmtId="0" fontId="1" fillId="3" borderId="11" xfId="0" applyFont="1" applyFill="1" applyBorder="1" applyAlignment="1">
      <alignment horizontal="right" vertical="center"/>
    </xf>
    <xf numFmtId="167" fontId="0" fillId="3" borderId="9" xfId="13" applyNumberFormat="1" applyFont="1" applyFill="1" applyBorder="1" applyAlignment="1">
      <alignment horizontal="right" vertical="center"/>
    </xf>
    <xf numFmtId="167" fontId="0" fillId="3" borderId="0" xfId="13" applyNumberFormat="1" applyFont="1" applyFill="1" applyBorder="1" applyAlignment="1">
      <alignment horizontal="right" vertical="center"/>
    </xf>
    <xf numFmtId="0" fontId="0" fillId="3" borderId="8" xfId="0" applyFill="1" applyBorder="1" applyAlignment="1">
      <alignment vertical="center"/>
    </xf>
    <xf numFmtId="167" fontId="0" fillId="3" borderId="8" xfId="13" applyNumberFormat="1" applyFont="1" applyFill="1" applyBorder="1" applyAlignment="1">
      <alignment horizontal="right" vertical="center"/>
    </xf>
    <xf numFmtId="165" fontId="8" fillId="3" borderId="8" xfId="13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1" fontId="0" fillId="0" borderId="0" xfId="0" applyNumberFormat="1"/>
    <xf numFmtId="0" fontId="6" fillId="0" borderId="0" xfId="12"/>
    <xf numFmtId="0" fontId="0" fillId="0" borderId="0" xfId="0" applyAlignment="1">
      <alignment horizontal="right"/>
    </xf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0" fillId="0" borderId="0" xfId="0" applyFont="1"/>
    <xf numFmtId="0" fontId="0" fillId="4" borderId="0" xfId="0" applyFill="1"/>
    <xf numFmtId="11" fontId="0" fillId="0" borderId="12" xfId="0" applyNumberFormat="1" applyBorder="1"/>
    <xf numFmtId="2" fontId="0" fillId="0" borderId="0" xfId="0" applyNumberFormat="1"/>
    <xf numFmtId="0" fontId="11" fillId="0" borderId="0" xfId="0" applyFont="1"/>
    <xf numFmtId="0" fontId="1" fillId="5" borderId="0" xfId="0" applyFont="1" applyFill="1"/>
    <xf numFmtId="0" fontId="1" fillId="0" borderId="0" xfId="0" applyFont="1" applyAlignment="1">
      <alignment horizontal="right"/>
    </xf>
    <xf numFmtId="9" fontId="0" fillId="6" borderId="0" xfId="0" applyNumberFormat="1" applyFill="1"/>
    <xf numFmtId="165" fontId="0" fillId="3" borderId="8" xfId="13" applyNumberFormat="1" applyFont="1" applyFill="1" applyBorder="1" applyAlignment="1">
      <alignment horizontal="right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12" fillId="3" borderId="14" xfId="0" applyNumberFormat="1" applyFont="1" applyFill="1" applyBorder="1" applyAlignment="1">
      <alignment horizontal="center" vertical="center"/>
    </xf>
  </cellXfs>
  <cellStyles count="14">
    <cellStyle name="Body: normal cell" xfId="1" xr:uid="{00000000-0005-0000-0000-000000000000}"/>
    <cellStyle name="Comma" xfId="13" builtinId="3"/>
    <cellStyle name="Font: Calibri, 9pt regular" xfId="2" xr:uid="{00000000-0005-0000-0000-000002000000}"/>
    <cellStyle name="Footnotes: all except top row" xfId="3" xr:uid="{00000000-0005-0000-0000-000003000000}"/>
    <cellStyle name="Footnotes: top row" xfId="4" xr:uid="{00000000-0005-0000-0000-000004000000}"/>
    <cellStyle name="Header: bottom row" xfId="5" xr:uid="{00000000-0005-0000-0000-000005000000}"/>
    <cellStyle name="Header: top rows" xfId="6" xr:uid="{00000000-0005-0000-0000-000006000000}"/>
    <cellStyle name="Hyperlink" xfId="12" builtinId="8"/>
    <cellStyle name="Hyperlink 2" xfId="7" xr:uid="{00000000-0005-0000-0000-000008000000}"/>
    <cellStyle name="Normal" xfId="0" builtinId="0"/>
    <cellStyle name="Parent row" xfId="8" xr:uid="{00000000-0005-0000-0000-00000A000000}"/>
    <cellStyle name="Section Break" xfId="9" xr:uid="{00000000-0005-0000-0000-00000B000000}"/>
    <cellStyle name="Section Break: parent row" xfId="10" xr:uid="{00000000-0005-0000-0000-00000C000000}"/>
    <cellStyle name="Table title" xfId="11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Energy%20Innovation)\Desktop\IESS_Version2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-my.sharepoint.com/personal/varun_agarwal_wri_org/Documents/EPS%20India%202.0/EPS%202023/EPS%20India%20Update-2023-24/IESS%20v3/IESS2070_Master%20Version_16.08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7osti/68925.pdf" TargetMode="External"/><Relationship Id="rId1" Type="http://schemas.openxmlformats.org/officeDocument/2006/relationships/hyperlink" Target="http://indiaenergy.gov.in/iess/docs/IESS_Version2.2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1"/>
  <sheetViews>
    <sheetView tabSelected="1" workbookViewId="0">
      <selection activeCell="B8" sqref="B8"/>
    </sheetView>
  </sheetViews>
  <sheetFormatPr defaultRowHeight="14.45"/>
  <cols>
    <col min="2" max="2" width="56.85546875" customWidth="1"/>
    <col min="4" max="4" width="57.28515625" customWidth="1"/>
  </cols>
  <sheetData>
    <row r="1" spans="1:4">
      <c r="A1" s="1" t="s">
        <v>0</v>
      </c>
    </row>
    <row r="3" spans="1:4">
      <c r="A3" s="1" t="s">
        <v>1</v>
      </c>
      <c r="B3" s="6" t="s">
        <v>2</v>
      </c>
      <c r="D3" s="6" t="s">
        <v>3</v>
      </c>
    </row>
    <row r="4" spans="1:4">
      <c r="B4" t="s">
        <v>4</v>
      </c>
      <c r="D4" t="s">
        <v>5</v>
      </c>
    </row>
    <row r="5" spans="1:4">
      <c r="B5" s="3">
        <v>2023</v>
      </c>
      <c r="D5" s="3">
        <v>2019</v>
      </c>
    </row>
    <row r="6" spans="1:4">
      <c r="B6" t="s">
        <v>6</v>
      </c>
      <c r="D6" t="s">
        <v>7</v>
      </c>
    </row>
    <row r="7" spans="1:4" ht="15">
      <c r="B7" s="31" t="s">
        <v>8</v>
      </c>
      <c r="D7" s="31" t="s">
        <v>9</v>
      </c>
    </row>
    <row r="8" spans="1:4">
      <c r="B8" t="s">
        <v>10</v>
      </c>
    </row>
    <row r="10" spans="1:4">
      <c r="B10" s="4" t="s">
        <v>11</v>
      </c>
      <c r="C10" s="3"/>
      <c r="D10" s="6" t="s">
        <v>12</v>
      </c>
    </row>
    <row r="11" spans="1:4">
      <c r="B11" s="3" t="s">
        <v>13</v>
      </c>
      <c r="C11" s="3"/>
      <c r="D11" t="s">
        <v>14</v>
      </c>
    </row>
    <row r="12" spans="1:4">
      <c r="B12" s="3">
        <v>2015</v>
      </c>
      <c r="C12" s="3"/>
      <c r="D12" s="3">
        <v>2019</v>
      </c>
    </row>
    <row r="13" spans="1:4">
      <c r="B13" s="3" t="s">
        <v>15</v>
      </c>
      <c r="C13" s="3"/>
      <c r="D13" t="s">
        <v>16</v>
      </c>
    </row>
    <row r="14" spans="1:4">
      <c r="B14" s="5" t="s">
        <v>17</v>
      </c>
      <c r="C14" s="3"/>
      <c r="D14" s="31" t="s">
        <v>18</v>
      </c>
    </row>
    <row r="15" spans="1:4">
      <c r="B15" s="3" t="s">
        <v>19</v>
      </c>
      <c r="D15" t="s">
        <v>20</v>
      </c>
    </row>
    <row r="16" spans="1:4">
      <c r="B16" s="3" t="s">
        <v>21</v>
      </c>
    </row>
    <row r="17" spans="1:4">
      <c r="B17" s="3"/>
      <c r="D17" s="4" t="s">
        <v>22</v>
      </c>
    </row>
    <row r="18" spans="1:4">
      <c r="B18" s="3"/>
      <c r="D18" t="s">
        <v>23</v>
      </c>
    </row>
    <row r="19" spans="1:4">
      <c r="B19" s="3"/>
      <c r="D19" s="3">
        <v>2018</v>
      </c>
    </row>
    <row r="20" spans="1:4">
      <c r="B20" s="3"/>
      <c r="D20" t="s">
        <v>24</v>
      </c>
    </row>
    <row r="21" spans="1:4">
      <c r="B21" s="3"/>
      <c r="D21" s="31" t="s">
        <v>25</v>
      </c>
    </row>
    <row r="22" spans="1:4">
      <c r="B22" s="3"/>
      <c r="D22" t="s">
        <v>26</v>
      </c>
    </row>
    <row r="23" spans="1:4">
      <c r="B23" s="3"/>
    </row>
    <row r="24" spans="1:4">
      <c r="B24" s="3"/>
    </row>
    <row r="25" spans="1:4">
      <c r="A25" s="1" t="s">
        <v>27</v>
      </c>
    </row>
    <row r="26" spans="1:4">
      <c r="A26" t="s">
        <v>28</v>
      </c>
    </row>
    <row r="27" spans="1:4">
      <c r="A27" t="s">
        <v>29</v>
      </c>
    </row>
    <row r="28" spans="1:4">
      <c r="A28" t="s">
        <v>30</v>
      </c>
    </row>
    <row r="30" spans="1:4">
      <c r="A30" t="s">
        <v>31</v>
      </c>
    </row>
    <row r="31" spans="1:4">
      <c r="A31" t="s">
        <v>32</v>
      </c>
    </row>
    <row r="32" spans="1:4">
      <c r="A32" t="s">
        <v>33</v>
      </c>
    </row>
    <row r="33" spans="1:1">
      <c r="A33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hyperlinks>
    <hyperlink ref="B7" r:id="rId1" xr:uid="{00000000-0004-0000-0000-000000000000}"/>
    <hyperlink ref="D21" r:id="rId2" xr:uid="{956761B4-B8A9-409A-AC2E-244D873F82F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8500-76EA-4C64-BE85-14C24F8020D2}">
  <sheetPr codeName="Sheet2"/>
  <dimension ref="A1:E14"/>
  <sheetViews>
    <sheetView topLeftCell="B4" workbookViewId="0">
      <selection activeCell="C5" sqref="C5"/>
    </sheetView>
  </sheetViews>
  <sheetFormatPr defaultRowHeight="14.45"/>
  <cols>
    <col min="1" max="1" width="12.5703125" customWidth="1"/>
    <col min="2" max="2" width="16.5703125" customWidth="1"/>
    <col min="3" max="3" width="16.85546875" customWidth="1"/>
  </cols>
  <sheetData>
    <row r="1" spans="1:5">
      <c r="A1" t="s">
        <v>7</v>
      </c>
    </row>
    <row r="3" spans="1:5">
      <c r="B3" t="s">
        <v>41</v>
      </c>
      <c r="C3" t="s">
        <v>42</v>
      </c>
    </row>
    <row r="4" spans="1:5">
      <c r="A4" t="s">
        <v>43</v>
      </c>
      <c r="B4" t="s">
        <v>44</v>
      </c>
      <c r="C4">
        <v>54000</v>
      </c>
      <c r="D4" t="s">
        <v>45</v>
      </c>
    </row>
    <row r="5" spans="1:5">
      <c r="A5" t="s">
        <v>46</v>
      </c>
      <c r="B5" t="s">
        <v>47</v>
      </c>
      <c r="C5">
        <v>48000</v>
      </c>
    </row>
    <row r="6" spans="1:5">
      <c r="A6" t="s">
        <v>48</v>
      </c>
      <c r="B6" t="s">
        <v>49</v>
      </c>
      <c r="C6">
        <v>45000</v>
      </c>
    </row>
    <row r="7" spans="1:5">
      <c r="B7" t="s">
        <v>50</v>
      </c>
      <c r="C7">
        <f>AVERAGE(C4:C5)</f>
        <v>51000</v>
      </c>
    </row>
    <row r="8" spans="1:5">
      <c r="C8" s="37">
        <f>C7*1000</f>
        <v>51000000</v>
      </c>
      <c r="D8" t="s">
        <v>51</v>
      </c>
    </row>
    <row r="9" spans="1:5">
      <c r="A9" s="36" t="s">
        <v>52</v>
      </c>
    </row>
    <row r="10" spans="1:5">
      <c r="C10" t="s">
        <v>53</v>
      </c>
    </row>
    <row r="11" spans="1:5">
      <c r="C11">
        <v>600</v>
      </c>
      <c r="D11" t="s">
        <v>45</v>
      </c>
    </row>
    <row r="12" spans="1:5">
      <c r="C12" s="37">
        <f>C11*1000</f>
        <v>600000</v>
      </c>
      <c r="D12" t="s">
        <v>51</v>
      </c>
    </row>
    <row r="13" spans="1:5">
      <c r="A13" s="36" t="s">
        <v>54</v>
      </c>
    </row>
    <row r="14" spans="1:5">
      <c r="A14" t="s">
        <v>55</v>
      </c>
      <c r="C14">
        <f>C8+C12</f>
        <v>51600000</v>
      </c>
      <c r="D14" t="s">
        <v>51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107"/>
  <sheetViews>
    <sheetView topLeftCell="A94" workbookViewId="0">
      <selection activeCell="C104" sqref="C104"/>
    </sheetView>
  </sheetViews>
  <sheetFormatPr defaultRowHeight="14.45"/>
  <cols>
    <col min="1" max="1" width="25.42578125" customWidth="1"/>
    <col min="2" max="2" width="11.140625" customWidth="1"/>
    <col min="3" max="3" width="21.7109375" customWidth="1"/>
    <col min="6" max="6" width="12.85546875" customWidth="1"/>
    <col min="8" max="8" width="12" bestFit="1" customWidth="1"/>
  </cols>
  <sheetData>
    <row r="1" spans="1:28">
      <c r="A1" s="15" t="s">
        <v>56</v>
      </c>
      <c r="B1" s="16"/>
      <c r="C1" s="17"/>
      <c r="D1" s="18"/>
      <c r="E1" s="19"/>
      <c r="F1" s="8"/>
      <c r="G1" s="8"/>
      <c r="H1" s="8"/>
      <c r="I1" s="8"/>
      <c r="J1" s="8"/>
      <c r="K1" s="8"/>
      <c r="L1" s="8"/>
    </row>
    <row r="2" spans="1:28">
      <c r="A2" s="9"/>
      <c r="B2" s="16"/>
      <c r="C2" s="17"/>
      <c r="D2" s="20"/>
      <c r="E2" s="18"/>
      <c r="F2" s="8"/>
      <c r="G2" s="8"/>
      <c r="H2" s="8"/>
      <c r="I2" s="8"/>
      <c r="J2" s="8"/>
      <c r="K2" s="8"/>
      <c r="L2" s="10" t="s">
        <v>57</v>
      </c>
    </row>
    <row r="3" spans="1:28" ht="15">
      <c r="A3" s="11"/>
      <c r="B3" s="11"/>
      <c r="C3" s="21" t="s">
        <v>58</v>
      </c>
      <c r="D3" s="22">
        <v>2007</v>
      </c>
      <c r="E3" s="23">
        <v>2012</v>
      </c>
      <c r="F3" s="23">
        <v>2020</v>
      </c>
      <c r="G3" s="23">
        <v>2022</v>
      </c>
      <c r="H3" s="23">
        <v>2027</v>
      </c>
      <c r="I3" s="23">
        <v>2032</v>
      </c>
      <c r="J3" s="23">
        <v>2037</v>
      </c>
      <c r="K3" s="23">
        <v>2042</v>
      </c>
      <c r="L3" s="23">
        <v>2047</v>
      </c>
      <c r="M3" s="23">
        <v>2050</v>
      </c>
      <c r="N3" s="23">
        <v>2055</v>
      </c>
      <c r="O3" s="23">
        <v>2060</v>
      </c>
      <c r="P3" s="23">
        <v>2065</v>
      </c>
      <c r="Q3" s="23">
        <v>2070</v>
      </c>
    </row>
    <row r="4" spans="1:28" ht="15">
      <c r="A4" s="12" t="s">
        <v>59</v>
      </c>
      <c r="B4" s="11"/>
      <c r="C4" s="24"/>
      <c r="D4" s="20"/>
      <c r="E4" s="18">
        <v>9.9999999999999991E-6</v>
      </c>
      <c r="F4">
        <v>4.299999999999999E-2</v>
      </c>
      <c r="G4">
        <v>3.5999999999999997E-2</v>
      </c>
      <c r="H4">
        <v>3.3300000000000003E-2</v>
      </c>
      <c r="I4">
        <v>3.0600000000000002E-2</v>
      </c>
      <c r="J4">
        <v>2.7900000000000001E-2</v>
      </c>
      <c r="K4">
        <v>2.3400000000000001E-2</v>
      </c>
      <c r="L4">
        <v>1.8900000000000004E-2</v>
      </c>
      <c r="M4">
        <v>1.755E-2</v>
      </c>
      <c r="N4">
        <v>1.6200000000000003E-2</v>
      </c>
      <c r="O4">
        <v>1.6200000000000003E-2</v>
      </c>
      <c r="P4">
        <v>1.6200000000000003E-2</v>
      </c>
      <c r="Q4">
        <v>1.6200000000000003E-2</v>
      </c>
      <c r="R4" s="45"/>
    </row>
    <row r="5" spans="1:28" ht="15">
      <c r="A5" s="13" t="s">
        <v>60</v>
      </c>
      <c r="B5" s="16"/>
      <c r="C5" s="25">
        <v>0</v>
      </c>
      <c r="D5" s="20"/>
      <c r="E5" s="18">
        <v>9.9999999999999991E-6</v>
      </c>
      <c r="F5">
        <v>4.299999999999999E-2</v>
      </c>
      <c r="G5">
        <v>0.04</v>
      </c>
      <c r="H5">
        <v>3.6999999999999998E-2</v>
      </c>
      <c r="I5">
        <v>3.4000000000000002E-2</v>
      </c>
      <c r="J5">
        <v>3.1E-2</v>
      </c>
      <c r="K5">
        <v>2.5999999999999999E-2</v>
      </c>
      <c r="L5">
        <v>2.1000000000000001E-2</v>
      </c>
      <c r="M5">
        <v>1.95E-2</v>
      </c>
      <c r="N5">
        <v>1.8000000000000002E-2</v>
      </c>
      <c r="O5">
        <v>1.8000000000000002E-2</v>
      </c>
      <c r="P5">
        <v>1.8000000000000002E-2</v>
      </c>
      <c r="Q5">
        <v>1.8000000000000002E-2</v>
      </c>
      <c r="R5" s="45"/>
    </row>
    <row r="6" spans="1:28" ht="15">
      <c r="A6" s="14" t="s">
        <v>61</v>
      </c>
      <c r="B6" s="26"/>
      <c r="C6" s="27"/>
      <c r="D6" s="28"/>
      <c r="E6" s="44">
        <v>9.9999999999999991E-6</v>
      </c>
      <c r="F6">
        <v>4.299999999999999E-2</v>
      </c>
      <c r="G6">
        <v>4.3999999999999997E-2</v>
      </c>
      <c r="H6">
        <v>4.07E-2</v>
      </c>
      <c r="I6">
        <v>3.7400000000000003E-2</v>
      </c>
      <c r="J6">
        <v>3.4099999999999998E-2</v>
      </c>
      <c r="K6">
        <v>2.86E-2</v>
      </c>
      <c r="L6">
        <v>2.3100000000000002E-2</v>
      </c>
      <c r="M6">
        <v>2.1450000000000004E-2</v>
      </c>
      <c r="N6">
        <v>1.9800000000000005E-2</v>
      </c>
      <c r="O6">
        <v>1.9800000000000005E-2</v>
      </c>
      <c r="P6">
        <v>1.9800000000000005E-2</v>
      </c>
      <c r="Q6">
        <v>1.9800000000000005E-2</v>
      </c>
      <c r="R6" s="46"/>
    </row>
    <row r="7" spans="1:28">
      <c r="A7" s="13" t="s">
        <v>62</v>
      </c>
      <c r="F7" s="30">
        <f>0</f>
        <v>0</v>
      </c>
      <c r="G7" s="30">
        <f>0</f>
        <v>0</v>
      </c>
      <c r="H7" s="30">
        <f>0</f>
        <v>0</v>
      </c>
      <c r="I7" s="30">
        <f>0</f>
        <v>0</v>
      </c>
      <c r="J7" s="30">
        <f>0</f>
        <v>0</v>
      </c>
      <c r="K7" s="30">
        <f>0</f>
        <v>0</v>
      </c>
      <c r="L7" s="30">
        <f>0</f>
        <v>0</v>
      </c>
      <c r="M7" s="30">
        <f>0</f>
        <v>0</v>
      </c>
      <c r="N7" s="30">
        <f>0</f>
        <v>0</v>
      </c>
      <c r="O7" s="30">
        <f>0</f>
        <v>0</v>
      </c>
      <c r="P7" s="30">
        <f>0</f>
        <v>0</v>
      </c>
      <c r="Q7" s="30">
        <f>0</f>
        <v>0</v>
      </c>
    </row>
    <row r="8" spans="1:28" ht="15">
      <c r="A8" s="13" t="s">
        <v>63</v>
      </c>
      <c r="F8" s="38">
        <f>F7/5</f>
        <v>0</v>
      </c>
      <c r="G8" s="38">
        <f t="shared" ref="G8:Q8" si="0">G7/5</f>
        <v>0</v>
      </c>
      <c r="H8" s="38">
        <f t="shared" si="0"/>
        <v>0</v>
      </c>
      <c r="I8" s="38">
        <f t="shared" si="0"/>
        <v>0</v>
      </c>
      <c r="J8" s="38">
        <f t="shared" si="0"/>
        <v>0</v>
      </c>
      <c r="K8" s="38">
        <f t="shared" si="0"/>
        <v>0</v>
      </c>
      <c r="L8" s="38">
        <f t="shared" si="0"/>
        <v>0</v>
      </c>
      <c r="M8" s="38">
        <f t="shared" si="0"/>
        <v>0</v>
      </c>
      <c r="N8" s="38">
        <f t="shared" si="0"/>
        <v>0</v>
      </c>
      <c r="O8" s="38">
        <f t="shared" si="0"/>
        <v>0</v>
      </c>
      <c r="P8" s="38">
        <f t="shared" si="0"/>
        <v>0</v>
      </c>
      <c r="Q8" s="38">
        <f t="shared" si="0"/>
        <v>0</v>
      </c>
    </row>
    <row r="9" spans="1:28" ht="15">
      <c r="A9" s="29"/>
      <c r="Q9">
        <v>42.999999999999993</v>
      </c>
      <c r="R9" s="45">
        <f>0.9*R10</f>
        <v>36</v>
      </c>
      <c r="S9" s="45">
        <f t="shared" ref="S9:AB9" si="1">0.9*S10</f>
        <v>33.300000000000004</v>
      </c>
      <c r="T9" s="45">
        <f t="shared" si="1"/>
        <v>30.6</v>
      </c>
      <c r="U9" s="45">
        <f t="shared" si="1"/>
        <v>27.900000000000002</v>
      </c>
      <c r="V9" s="45">
        <f t="shared" si="1"/>
        <v>23.400000000000002</v>
      </c>
      <c r="W9" s="45">
        <f t="shared" si="1"/>
        <v>18.900000000000002</v>
      </c>
      <c r="X9" s="45">
        <f t="shared" si="1"/>
        <v>17.55</v>
      </c>
      <c r="Y9" s="45">
        <f t="shared" si="1"/>
        <v>16.200000000000003</v>
      </c>
      <c r="Z9" s="45">
        <f t="shared" si="1"/>
        <v>16.200000000000003</v>
      </c>
      <c r="AA9" s="45">
        <f t="shared" si="1"/>
        <v>16.200000000000003</v>
      </c>
      <c r="AB9" s="45">
        <f t="shared" si="1"/>
        <v>16.200000000000003</v>
      </c>
    </row>
    <row r="10" spans="1:28" ht="15">
      <c r="Q10">
        <v>42.999999999999993</v>
      </c>
      <c r="R10" s="45">
        <v>40</v>
      </c>
      <c r="S10" s="45">
        <v>37</v>
      </c>
      <c r="T10" s="45">
        <v>34</v>
      </c>
      <c r="U10" s="45">
        <v>31</v>
      </c>
      <c r="V10" s="45">
        <v>26</v>
      </c>
      <c r="W10" s="45">
        <v>21</v>
      </c>
      <c r="X10" s="45">
        <v>19.5</v>
      </c>
      <c r="Y10" s="45">
        <v>18.000000000000004</v>
      </c>
      <c r="Z10" s="45">
        <v>18.000000000000004</v>
      </c>
      <c r="AA10" s="45">
        <v>18.000000000000004</v>
      </c>
      <c r="AB10" s="45">
        <v>18.000000000000004</v>
      </c>
    </row>
    <row r="11" spans="1:28" ht="15">
      <c r="B11" t="s">
        <v>64</v>
      </c>
      <c r="C11">
        <v>2022</v>
      </c>
      <c r="D11">
        <v>2027</v>
      </c>
      <c r="E11">
        <v>2032</v>
      </c>
      <c r="F11">
        <v>2037</v>
      </c>
      <c r="G11">
        <v>2042</v>
      </c>
      <c r="H11">
        <v>2047</v>
      </c>
      <c r="Q11">
        <v>42.999999999999993</v>
      </c>
      <c r="R11" s="46">
        <f>1.1*R10</f>
        <v>44</v>
      </c>
      <c r="S11" s="46">
        <f t="shared" ref="S11:AB11" si="2">1.1*S10</f>
        <v>40.700000000000003</v>
      </c>
      <c r="T11" s="46">
        <f t="shared" si="2"/>
        <v>37.400000000000006</v>
      </c>
      <c r="U11" s="46">
        <f t="shared" si="2"/>
        <v>34.1</v>
      </c>
      <c r="V11" s="46">
        <f t="shared" si="2"/>
        <v>28.6</v>
      </c>
      <c r="W11" s="46">
        <f t="shared" si="2"/>
        <v>23.1</v>
      </c>
      <c r="X11" s="46">
        <f t="shared" si="2"/>
        <v>21.450000000000003</v>
      </c>
      <c r="Y11" s="46">
        <f t="shared" si="2"/>
        <v>19.800000000000004</v>
      </c>
      <c r="Z11" s="46">
        <f t="shared" si="2"/>
        <v>19.800000000000004</v>
      </c>
      <c r="AA11" s="46">
        <f t="shared" si="2"/>
        <v>19.800000000000004</v>
      </c>
      <c r="AB11" s="46">
        <f t="shared" si="2"/>
        <v>19.800000000000004</v>
      </c>
    </row>
    <row r="12" spans="1:28">
      <c r="A12" s="1" t="s">
        <v>65</v>
      </c>
      <c r="B12" s="30">
        <f>'India Data'!C8</f>
        <v>51000000</v>
      </c>
      <c r="C12" s="30">
        <f>B12*(1+3*G8)</f>
        <v>51000000</v>
      </c>
      <c r="D12" s="30">
        <f>C12*(1+H7)</f>
        <v>51000000</v>
      </c>
      <c r="E12" s="30">
        <f>D12*(1+I7)</f>
        <v>51000000</v>
      </c>
      <c r="F12" s="30">
        <f>E12*(1+J7)</f>
        <v>51000000</v>
      </c>
      <c r="G12" s="30">
        <f>F12*(1+K7)</f>
        <v>51000000</v>
      </c>
      <c r="H12" s="30">
        <f>G12*(1+L7)</f>
        <v>51000000</v>
      </c>
    </row>
    <row r="13" spans="1:28">
      <c r="A13" s="1" t="s">
        <v>66</v>
      </c>
      <c r="B13" s="30">
        <f>B12/'AC DC Derate Factor'!$A$3</f>
        <v>59371362.048894063</v>
      </c>
      <c r="C13" s="30">
        <f>C12/'AC DC Derate Factor'!$A$3</f>
        <v>59371362.048894063</v>
      </c>
      <c r="D13" s="30">
        <f>D12/'AC DC Derate Factor'!$A$3</f>
        <v>59371362.048894063</v>
      </c>
      <c r="E13" s="30">
        <f>E12/'AC DC Derate Factor'!$A$3</f>
        <v>59371362.048894063</v>
      </c>
      <c r="F13" s="30">
        <f>F12/'AC DC Derate Factor'!$A$3</f>
        <v>59371362.048894063</v>
      </c>
      <c r="G13" s="30">
        <f>G12/'AC DC Derate Factor'!$A$3</f>
        <v>59371362.048894063</v>
      </c>
      <c r="H13" s="30">
        <f>H12/'AC DC Derate Factor'!$A$3</f>
        <v>59371362.048894063</v>
      </c>
      <c r="Q13">
        <f>Q9/1000</f>
        <v>4.299999999999999E-2</v>
      </c>
      <c r="R13">
        <f t="shared" ref="R13:U13" si="3">R9/1000</f>
        <v>3.5999999999999997E-2</v>
      </c>
      <c r="S13">
        <f t="shared" si="3"/>
        <v>3.3300000000000003E-2</v>
      </c>
      <c r="T13">
        <f t="shared" si="3"/>
        <v>3.0600000000000002E-2</v>
      </c>
      <c r="U13">
        <f t="shared" si="3"/>
        <v>2.7900000000000001E-2</v>
      </c>
      <c r="V13">
        <f t="shared" ref="V13:AB13" si="4">V9/1000</f>
        <v>2.3400000000000001E-2</v>
      </c>
      <c r="W13">
        <f t="shared" si="4"/>
        <v>1.8900000000000004E-2</v>
      </c>
      <c r="X13">
        <f t="shared" si="4"/>
        <v>1.755E-2</v>
      </c>
      <c r="Y13">
        <f t="shared" si="4"/>
        <v>1.6200000000000003E-2</v>
      </c>
      <c r="Z13">
        <f t="shared" si="4"/>
        <v>1.6200000000000003E-2</v>
      </c>
      <c r="AA13">
        <f t="shared" si="4"/>
        <v>1.6200000000000003E-2</v>
      </c>
      <c r="AB13">
        <f t="shared" si="4"/>
        <v>1.6200000000000003E-2</v>
      </c>
    </row>
    <row r="14" spans="1:28">
      <c r="A14" s="1"/>
      <c r="B14" s="30"/>
      <c r="C14" s="30"/>
      <c r="D14" s="30"/>
      <c r="E14" s="30"/>
      <c r="F14" s="30"/>
      <c r="G14" s="30"/>
      <c r="H14" s="30"/>
      <c r="Q14">
        <f t="shared" ref="Q14:T15" si="5">Q10/1000</f>
        <v>4.299999999999999E-2</v>
      </c>
      <c r="R14">
        <f t="shared" si="5"/>
        <v>0.04</v>
      </c>
      <c r="S14">
        <f t="shared" si="5"/>
        <v>3.6999999999999998E-2</v>
      </c>
      <c r="T14">
        <f t="shared" si="5"/>
        <v>3.4000000000000002E-2</v>
      </c>
      <c r="U14">
        <f t="shared" ref="U14:AB14" si="6">U10/1000</f>
        <v>3.1E-2</v>
      </c>
      <c r="V14">
        <f t="shared" si="6"/>
        <v>2.5999999999999999E-2</v>
      </c>
      <c r="W14">
        <f t="shared" si="6"/>
        <v>2.1000000000000001E-2</v>
      </c>
      <c r="X14">
        <f t="shared" si="6"/>
        <v>1.95E-2</v>
      </c>
      <c r="Y14">
        <f t="shared" si="6"/>
        <v>1.8000000000000002E-2</v>
      </c>
      <c r="Z14">
        <f t="shared" si="6"/>
        <v>1.8000000000000002E-2</v>
      </c>
      <c r="AA14">
        <f t="shared" si="6"/>
        <v>1.8000000000000002E-2</v>
      </c>
      <c r="AB14">
        <f t="shared" si="6"/>
        <v>1.8000000000000002E-2</v>
      </c>
    </row>
    <row r="15" spans="1:28">
      <c r="A15" s="1"/>
      <c r="B15" s="30"/>
      <c r="C15" s="30"/>
      <c r="D15" s="30"/>
      <c r="E15" s="30"/>
      <c r="F15" s="30"/>
      <c r="G15" s="30"/>
      <c r="H15" s="30"/>
      <c r="Q15">
        <f t="shared" si="5"/>
        <v>4.299999999999999E-2</v>
      </c>
      <c r="R15">
        <f t="shared" si="5"/>
        <v>4.3999999999999997E-2</v>
      </c>
      <c r="S15">
        <f t="shared" si="5"/>
        <v>4.07E-2</v>
      </c>
      <c r="T15">
        <f t="shared" si="5"/>
        <v>3.7400000000000003E-2</v>
      </c>
      <c r="U15">
        <f t="shared" ref="U15:AB15" si="7">U11/1000</f>
        <v>3.4099999999999998E-2</v>
      </c>
      <c r="V15">
        <f t="shared" si="7"/>
        <v>2.86E-2</v>
      </c>
      <c r="W15">
        <f t="shared" si="7"/>
        <v>2.3100000000000002E-2</v>
      </c>
      <c r="X15">
        <f t="shared" si="7"/>
        <v>2.1450000000000004E-2</v>
      </c>
      <c r="Y15">
        <f t="shared" si="7"/>
        <v>1.9800000000000005E-2</v>
      </c>
      <c r="Z15">
        <f t="shared" si="7"/>
        <v>1.9800000000000005E-2</v>
      </c>
      <c r="AA15">
        <f t="shared" si="7"/>
        <v>1.9800000000000005E-2</v>
      </c>
      <c r="AB15">
        <f t="shared" si="7"/>
        <v>1.9800000000000005E-2</v>
      </c>
    </row>
    <row r="16" spans="1:28">
      <c r="A16" s="6" t="s">
        <v>67</v>
      </c>
      <c r="B16" s="2"/>
      <c r="C16" s="2"/>
      <c r="D16" s="2"/>
    </row>
    <row r="17" spans="1:28">
      <c r="A17" s="1" t="s">
        <v>68</v>
      </c>
      <c r="C17" s="31"/>
      <c r="Q17">
        <v>4.299999999999999E-2</v>
      </c>
      <c r="R17">
        <v>3.5999999999999997E-2</v>
      </c>
      <c r="S17">
        <v>3.3300000000000003E-2</v>
      </c>
      <c r="T17">
        <v>3.0600000000000002E-2</v>
      </c>
      <c r="U17">
        <v>2.7900000000000001E-2</v>
      </c>
      <c r="V17">
        <v>2.3400000000000001E-2</v>
      </c>
      <c r="W17">
        <v>1.8900000000000004E-2</v>
      </c>
      <c r="X17">
        <v>1.755E-2</v>
      </c>
      <c r="Y17">
        <v>1.6200000000000003E-2</v>
      </c>
      <c r="Z17">
        <v>1.6200000000000003E-2</v>
      </c>
      <c r="AA17">
        <v>1.6200000000000003E-2</v>
      </c>
      <c r="AB17">
        <v>1.6200000000000003E-2</v>
      </c>
    </row>
    <row r="18" spans="1:28">
      <c r="A18" s="32" t="s">
        <v>69</v>
      </c>
      <c r="B18" s="32" t="s">
        <v>70</v>
      </c>
      <c r="C18" t="s">
        <v>71</v>
      </c>
      <c r="Q18">
        <v>4.299999999999999E-2</v>
      </c>
      <c r="R18">
        <v>0.04</v>
      </c>
      <c r="S18">
        <v>3.6999999999999998E-2</v>
      </c>
      <c r="T18">
        <v>3.4000000000000002E-2</v>
      </c>
      <c r="U18">
        <v>3.1E-2</v>
      </c>
      <c r="V18">
        <v>2.5999999999999999E-2</v>
      </c>
      <c r="W18">
        <v>2.1000000000000001E-2</v>
      </c>
      <c r="X18">
        <v>1.95E-2</v>
      </c>
      <c r="Y18">
        <v>1.8000000000000002E-2</v>
      </c>
      <c r="Z18">
        <v>1.8000000000000002E-2</v>
      </c>
      <c r="AA18">
        <v>1.8000000000000002E-2</v>
      </c>
      <c r="AB18">
        <v>1.8000000000000002E-2</v>
      </c>
    </row>
    <row r="19" spans="1:28">
      <c r="A19">
        <v>2010</v>
      </c>
      <c r="B19" s="33">
        <v>9.4700000000000006E-2</v>
      </c>
      <c r="C19" s="34">
        <f>C20/(1+B20)</f>
        <v>0.84470208721577789</v>
      </c>
      <c r="Q19">
        <v>4.299999999999999E-2</v>
      </c>
      <c r="R19">
        <v>4.3999999999999997E-2</v>
      </c>
      <c r="S19">
        <v>4.07E-2</v>
      </c>
      <c r="T19">
        <v>3.7400000000000003E-2</v>
      </c>
      <c r="U19">
        <v>3.4099999999999998E-2</v>
      </c>
      <c r="V19">
        <v>2.86E-2</v>
      </c>
      <c r="W19">
        <v>2.3100000000000002E-2</v>
      </c>
      <c r="X19">
        <v>2.1450000000000004E-2</v>
      </c>
      <c r="Y19">
        <v>1.9800000000000005E-2</v>
      </c>
      <c r="Z19">
        <v>1.9800000000000005E-2</v>
      </c>
      <c r="AA19">
        <v>1.9800000000000005E-2</v>
      </c>
      <c r="AB19">
        <v>1.9800000000000005E-2</v>
      </c>
    </row>
    <row r="20" spans="1:28">
      <c r="A20">
        <v>2011</v>
      </c>
      <c r="B20" s="33">
        <v>6.4899999999999999E-2</v>
      </c>
      <c r="C20" s="34">
        <f>C21/(1+B21)</f>
        <v>0.8995232526760818</v>
      </c>
    </row>
    <row r="21" spans="1:28">
      <c r="A21">
        <v>2012</v>
      </c>
      <c r="B21" s="33">
        <v>0.11169999999999999</v>
      </c>
      <c r="C21">
        <v>1</v>
      </c>
    </row>
    <row r="22" spans="1:28">
      <c r="A22">
        <v>2013</v>
      </c>
      <c r="B22" s="33">
        <v>9.1300000000000006E-2</v>
      </c>
      <c r="C22" s="34">
        <f>C21*(1+B22)</f>
        <v>1.0912999999999999</v>
      </c>
    </row>
    <row r="23" spans="1:28">
      <c r="A23">
        <v>2014</v>
      </c>
      <c r="B23" s="33">
        <v>5.8599999999999999E-2</v>
      </c>
      <c r="C23" s="34">
        <f t="shared" ref="C23:C28" si="8">C22*(1+B23)</f>
        <v>1.1552501799999999</v>
      </c>
      <c r="H23" s="30"/>
    </row>
    <row r="24" spans="1:28">
      <c r="A24">
        <v>2015</v>
      </c>
      <c r="B24" s="33">
        <v>6.3200000000000006E-2</v>
      </c>
      <c r="C24" s="34">
        <f t="shared" si="8"/>
        <v>1.2282619913759998</v>
      </c>
    </row>
    <row r="25" spans="1:28">
      <c r="A25">
        <v>2016</v>
      </c>
      <c r="B25" s="33">
        <v>2.23E-2</v>
      </c>
      <c r="C25" s="34">
        <f t="shared" si="8"/>
        <v>1.2556522337836846</v>
      </c>
    </row>
    <row r="26" spans="1:28">
      <c r="A26">
        <v>2017</v>
      </c>
      <c r="B26" s="35">
        <v>0.04</v>
      </c>
      <c r="C26" s="34">
        <f t="shared" si="8"/>
        <v>1.3058783231350322</v>
      </c>
    </row>
    <row r="27" spans="1:28">
      <c r="A27">
        <v>2018</v>
      </c>
      <c r="B27" s="33">
        <v>5.2400000000000002E-2</v>
      </c>
      <c r="C27" s="34">
        <f t="shared" si="8"/>
        <v>1.3743063472673078</v>
      </c>
    </row>
    <row r="28" spans="1:28">
      <c r="A28">
        <v>2019</v>
      </c>
      <c r="B28" s="33">
        <v>7.3700000000000002E-2</v>
      </c>
      <c r="C28" s="34">
        <f t="shared" si="8"/>
        <v>1.4755927250609084</v>
      </c>
      <c r="D28" t="s">
        <v>72</v>
      </c>
    </row>
    <row r="29" spans="1:28">
      <c r="A29" s="1" t="s">
        <v>73</v>
      </c>
    </row>
    <row r="30" spans="1:28">
      <c r="A30">
        <v>2010</v>
      </c>
      <c r="B30">
        <v>44.81</v>
      </c>
    </row>
    <row r="31" spans="1:28">
      <c r="A31">
        <v>2011</v>
      </c>
      <c r="B31">
        <v>53.26</v>
      </c>
    </row>
    <row r="32" spans="1:28">
      <c r="A32">
        <v>2012</v>
      </c>
      <c r="B32">
        <v>54.77</v>
      </c>
    </row>
    <row r="33" spans="1:8">
      <c r="A33">
        <v>2013</v>
      </c>
      <c r="B33">
        <v>61.89</v>
      </c>
    </row>
    <row r="34" spans="1:8">
      <c r="A34">
        <v>2014</v>
      </c>
      <c r="B34">
        <v>63.33</v>
      </c>
    </row>
    <row r="35" spans="1:8">
      <c r="A35">
        <v>2015</v>
      </c>
      <c r="B35">
        <v>66.319999999999993</v>
      </c>
    </row>
    <row r="36" spans="1:8">
      <c r="A36">
        <v>2016</v>
      </c>
      <c r="B36">
        <v>67.95</v>
      </c>
    </row>
    <row r="37" spans="1:8">
      <c r="A37">
        <v>2017</v>
      </c>
      <c r="B37">
        <v>63.92</v>
      </c>
    </row>
    <row r="38" spans="1:8">
      <c r="A38">
        <v>2018</v>
      </c>
      <c r="B38" s="39">
        <v>68.657300000000006</v>
      </c>
    </row>
    <row r="39" spans="1:8">
      <c r="B39">
        <v>2017</v>
      </c>
      <c r="C39">
        <v>2022</v>
      </c>
      <c r="D39">
        <v>2027</v>
      </c>
      <c r="E39">
        <v>2032</v>
      </c>
      <c r="F39">
        <v>2037</v>
      </c>
      <c r="G39">
        <v>2042</v>
      </c>
      <c r="H39">
        <v>2047</v>
      </c>
    </row>
    <row r="40" spans="1:8">
      <c r="A40" s="1" t="s">
        <v>74</v>
      </c>
      <c r="B40" s="30">
        <f>B13/$C$28/$B$32</f>
        <v>734628.48830477486</v>
      </c>
      <c r="C40" s="30">
        <f>C13/$C$28/$B$32</f>
        <v>734628.48830477486</v>
      </c>
      <c r="D40" s="30">
        <f t="shared" ref="D40:H40" si="9">D13/$C$28/$B$32</f>
        <v>734628.48830477486</v>
      </c>
      <c r="E40" s="30">
        <f t="shared" si="9"/>
        <v>734628.48830477486</v>
      </c>
      <c r="F40" s="30">
        <f t="shared" si="9"/>
        <v>734628.48830477486</v>
      </c>
      <c r="G40" s="30">
        <f t="shared" si="9"/>
        <v>734628.48830477486</v>
      </c>
      <c r="H40" s="30">
        <f t="shared" si="9"/>
        <v>734628.48830477486</v>
      </c>
    </row>
    <row r="41" spans="1:8">
      <c r="A41" s="1"/>
      <c r="B41" s="30"/>
      <c r="C41" s="30"/>
      <c r="D41" s="30"/>
      <c r="E41" s="30"/>
      <c r="F41" s="30"/>
      <c r="G41" s="30"/>
      <c r="H41" s="30"/>
    </row>
    <row r="42" spans="1:8">
      <c r="A42" s="1" t="s">
        <v>75</v>
      </c>
      <c r="B42" s="30"/>
      <c r="C42" s="30"/>
      <c r="D42" s="30"/>
      <c r="E42" s="30"/>
      <c r="F42" s="30"/>
      <c r="G42" s="30"/>
      <c r="H42" s="30"/>
    </row>
    <row r="44" spans="1:8">
      <c r="A44">
        <v>2017</v>
      </c>
      <c r="B44" s="30">
        <f>B40</f>
        <v>734628.48830477486</v>
      </c>
    </row>
    <row r="45" spans="1:8">
      <c r="A45">
        <v>2022</v>
      </c>
      <c r="B45" s="30">
        <f>C40</f>
        <v>734628.48830477486</v>
      </c>
    </row>
    <row r="46" spans="1:8">
      <c r="A46">
        <v>2027</v>
      </c>
      <c r="B46" s="30">
        <f>D40</f>
        <v>734628.48830477486</v>
      </c>
    </row>
    <row r="47" spans="1:8">
      <c r="A47">
        <v>2032</v>
      </c>
      <c r="B47" s="30">
        <f>E40</f>
        <v>734628.48830477486</v>
      </c>
    </row>
    <row r="48" spans="1:8">
      <c r="A48">
        <v>2037</v>
      </c>
      <c r="B48" s="30">
        <f>F40</f>
        <v>734628.48830477486</v>
      </c>
    </row>
    <row r="49" spans="1:2">
      <c r="A49">
        <v>2042</v>
      </c>
      <c r="B49" s="30">
        <f>G40</f>
        <v>734628.48830477486</v>
      </c>
    </row>
    <row r="50" spans="1:2">
      <c r="A50">
        <v>2047</v>
      </c>
      <c r="B50" s="30">
        <f>H40</f>
        <v>734628.48830477486</v>
      </c>
    </row>
    <row r="52" spans="1:2">
      <c r="A52" s="1" t="s">
        <v>76</v>
      </c>
    </row>
    <row r="53" spans="1:2">
      <c r="A53" s="1"/>
    </row>
    <row r="54" spans="1:2">
      <c r="A54">
        <v>2017</v>
      </c>
      <c r="B54" s="30">
        <f>TREND(B$44:B$45,$A$44:$A$45,$A54)</f>
        <v>734628.48830477486</v>
      </c>
    </row>
    <row r="55" spans="1:2">
      <c r="A55">
        <v>2018</v>
      </c>
      <c r="B55" s="30">
        <f t="shared" ref="B55:B59" si="10">TREND(B$44:B$45,$A$44:$A$45,$A55)</f>
        <v>734628.48830477486</v>
      </c>
    </row>
    <row r="56" spans="1:2">
      <c r="A56">
        <v>2019</v>
      </c>
      <c r="B56" s="30">
        <f t="shared" si="10"/>
        <v>734628.48830477486</v>
      </c>
    </row>
    <row r="57" spans="1:2">
      <c r="A57">
        <v>2020</v>
      </c>
      <c r="B57" s="30">
        <f t="shared" si="10"/>
        <v>734628.48830477486</v>
      </c>
    </row>
    <row r="58" spans="1:2">
      <c r="A58">
        <v>2021</v>
      </c>
      <c r="B58" s="30">
        <f t="shared" si="10"/>
        <v>734628.48830477486</v>
      </c>
    </row>
    <row r="59" spans="1:2">
      <c r="A59">
        <v>2022</v>
      </c>
      <c r="B59" s="30">
        <f t="shared" si="10"/>
        <v>734628.48830477486</v>
      </c>
    </row>
    <row r="60" spans="1:2">
      <c r="A60">
        <v>2023</v>
      </c>
      <c r="B60" s="30">
        <f>TREND(B$45:B$46,$A$45:$A$46,$A60)</f>
        <v>734628.48830477486</v>
      </c>
    </row>
    <row r="61" spans="1:2">
      <c r="A61">
        <v>2024</v>
      </c>
      <c r="B61" s="30">
        <f t="shared" ref="B61:B64" si="11">TREND(B$45:B$46,$A$45:$A$46,$A61)</f>
        <v>734628.48830477486</v>
      </c>
    </row>
    <row r="62" spans="1:2">
      <c r="A62">
        <v>2025</v>
      </c>
      <c r="B62" s="30">
        <f t="shared" si="11"/>
        <v>734628.48830477486</v>
      </c>
    </row>
    <row r="63" spans="1:2">
      <c r="A63">
        <v>2026</v>
      </c>
      <c r="B63" s="30">
        <f t="shared" si="11"/>
        <v>734628.48830477486</v>
      </c>
    </row>
    <row r="64" spans="1:2">
      <c r="A64">
        <v>2027</v>
      </c>
      <c r="B64" s="30">
        <f t="shared" si="11"/>
        <v>734628.48830477486</v>
      </c>
    </row>
    <row r="65" spans="1:2">
      <c r="A65">
        <v>2028</v>
      </c>
      <c r="B65" s="30">
        <f>TREND(B$46:B$47,$A$46:$A$47,$A65)</f>
        <v>734628.48830477486</v>
      </c>
    </row>
    <row r="66" spans="1:2">
      <c r="A66">
        <v>2029</v>
      </c>
      <c r="B66" s="30">
        <f t="shared" ref="B66:B69" si="12">TREND(B$46:B$47,$A$46:$A$47,$A66)</f>
        <v>734628.48830477486</v>
      </c>
    </row>
    <row r="67" spans="1:2">
      <c r="A67">
        <v>2030</v>
      </c>
      <c r="B67" s="30">
        <f t="shared" si="12"/>
        <v>734628.48830477486</v>
      </c>
    </row>
    <row r="68" spans="1:2">
      <c r="A68">
        <v>2031</v>
      </c>
      <c r="B68" s="30">
        <f t="shared" si="12"/>
        <v>734628.48830477486</v>
      </c>
    </row>
    <row r="69" spans="1:2">
      <c r="A69">
        <v>2032</v>
      </c>
      <c r="B69" s="30">
        <f t="shared" si="12"/>
        <v>734628.48830477486</v>
      </c>
    </row>
    <row r="70" spans="1:2">
      <c r="A70">
        <v>2033</v>
      </c>
      <c r="B70" s="30">
        <f>TREND(B$47:B$48,$A$47:$A$48,$A70)</f>
        <v>734628.48830477486</v>
      </c>
    </row>
    <row r="71" spans="1:2">
      <c r="A71">
        <v>2034</v>
      </c>
      <c r="B71" s="30">
        <f t="shared" ref="B71:B74" si="13">TREND(B$47:B$48,$A$47:$A$48,$A71)</f>
        <v>734628.48830477486</v>
      </c>
    </row>
    <row r="72" spans="1:2">
      <c r="A72">
        <v>2035</v>
      </c>
      <c r="B72" s="30">
        <f t="shared" si="13"/>
        <v>734628.48830477486</v>
      </c>
    </row>
    <row r="73" spans="1:2">
      <c r="A73">
        <v>2036</v>
      </c>
      <c r="B73" s="30">
        <f t="shared" si="13"/>
        <v>734628.48830477486</v>
      </c>
    </row>
    <row r="74" spans="1:2">
      <c r="A74">
        <v>2037</v>
      </c>
      <c r="B74" s="30">
        <f t="shared" si="13"/>
        <v>734628.48830477486</v>
      </c>
    </row>
    <row r="75" spans="1:2">
      <c r="A75">
        <v>2038</v>
      </c>
      <c r="B75" s="30">
        <f>TREND(B$48:B$49,$A$48:$A$49,$A75)</f>
        <v>734628.48830477486</v>
      </c>
    </row>
    <row r="76" spans="1:2">
      <c r="A76">
        <v>2039</v>
      </c>
      <c r="B76" s="30">
        <f t="shared" ref="B76:B79" si="14">TREND(B$48:B$49,$A$48:$A$49,$A76)</f>
        <v>734628.48830477486</v>
      </c>
    </row>
    <row r="77" spans="1:2">
      <c r="A77">
        <v>2040</v>
      </c>
      <c r="B77" s="30">
        <f t="shared" si="14"/>
        <v>734628.48830477486</v>
      </c>
    </row>
    <row r="78" spans="1:2">
      <c r="A78">
        <v>2041</v>
      </c>
      <c r="B78" s="30">
        <f t="shared" si="14"/>
        <v>734628.48830477486</v>
      </c>
    </row>
    <row r="79" spans="1:2">
      <c r="A79">
        <v>2042</v>
      </c>
      <c r="B79" s="30">
        <f t="shared" si="14"/>
        <v>734628.48830477486</v>
      </c>
    </row>
    <row r="80" spans="1:2">
      <c r="A80">
        <v>2043</v>
      </c>
      <c r="B80" s="30">
        <f>TREND(B$49:B$50,$A$49:$A$50,$A80)</f>
        <v>734628.48830477486</v>
      </c>
    </row>
    <row r="81" spans="1:2">
      <c r="A81">
        <v>2044</v>
      </c>
      <c r="B81" s="30">
        <f t="shared" ref="B81:B107" si="15">TREND(B$49:B$50,$A$49:$A$50,$A81)</f>
        <v>734628.48830477486</v>
      </c>
    </row>
    <row r="82" spans="1:2">
      <c r="A82">
        <v>2045</v>
      </c>
      <c r="B82" s="30">
        <f t="shared" si="15"/>
        <v>734628.48830477486</v>
      </c>
    </row>
    <row r="83" spans="1:2">
      <c r="A83">
        <v>2046</v>
      </c>
      <c r="B83" s="30">
        <f t="shared" si="15"/>
        <v>734628.48830477486</v>
      </c>
    </row>
    <row r="84" spans="1:2">
      <c r="A84">
        <v>2047</v>
      </c>
      <c r="B84" s="30">
        <f t="shared" si="15"/>
        <v>734628.48830477486</v>
      </c>
    </row>
    <row r="85" spans="1:2">
      <c r="A85">
        <v>2048</v>
      </c>
      <c r="B85" s="30">
        <f t="shared" si="15"/>
        <v>734628.48830477486</v>
      </c>
    </row>
    <row r="86" spans="1:2">
      <c r="A86">
        <v>2049</v>
      </c>
      <c r="B86" s="30">
        <f t="shared" si="15"/>
        <v>734628.48830477486</v>
      </c>
    </row>
    <row r="87" spans="1:2">
      <c r="A87">
        <v>2050</v>
      </c>
      <c r="B87" s="30">
        <f t="shared" si="15"/>
        <v>734628.48830477486</v>
      </c>
    </row>
    <row r="88" spans="1:2">
      <c r="A88">
        <v>2051</v>
      </c>
      <c r="B88" s="30">
        <f t="shared" si="15"/>
        <v>734628.48830477486</v>
      </c>
    </row>
    <row r="89" spans="1:2">
      <c r="A89">
        <v>2052</v>
      </c>
      <c r="B89" s="30">
        <f t="shared" si="15"/>
        <v>734628.48830477486</v>
      </c>
    </row>
    <row r="90" spans="1:2">
      <c r="A90">
        <v>2053</v>
      </c>
      <c r="B90" s="30">
        <f t="shared" si="15"/>
        <v>734628.48830477486</v>
      </c>
    </row>
    <row r="91" spans="1:2">
      <c r="A91">
        <v>2054</v>
      </c>
      <c r="B91" s="30">
        <f t="shared" si="15"/>
        <v>734628.48830477486</v>
      </c>
    </row>
    <row r="92" spans="1:2">
      <c r="A92">
        <v>2055</v>
      </c>
      <c r="B92" s="30">
        <f t="shared" si="15"/>
        <v>734628.48830477486</v>
      </c>
    </row>
    <row r="93" spans="1:2">
      <c r="A93">
        <v>2056</v>
      </c>
      <c r="B93" s="30">
        <f t="shared" si="15"/>
        <v>734628.48830477486</v>
      </c>
    </row>
    <row r="94" spans="1:2">
      <c r="A94">
        <v>2057</v>
      </c>
      <c r="B94" s="30">
        <f t="shared" si="15"/>
        <v>734628.48830477486</v>
      </c>
    </row>
    <row r="95" spans="1:2">
      <c r="A95">
        <v>2058</v>
      </c>
      <c r="B95" s="30">
        <f t="shared" si="15"/>
        <v>734628.48830477486</v>
      </c>
    </row>
    <row r="96" spans="1:2">
      <c r="A96">
        <v>2059</v>
      </c>
      <c r="B96" s="30">
        <f t="shared" si="15"/>
        <v>734628.48830477486</v>
      </c>
    </row>
    <row r="97" spans="1:2">
      <c r="A97">
        <v>2060</v>
      </c>
      <c r="B97" s="30">
        <f t="shared" si="15"/>
        <v>734628.48830477486</v>
      </c>
    </row>
    <row r="98" spans="1:2">
      <c r="A98">
        <v>2061</v>
      </c>
      <c r="B98" s="30">
        <f t="shared" si="15"/>
        <v>734628.48830477486</v>
      </c>
    </row>
    <row r="99" spans="1:2">
      <c r="A99">
        <v>2062</v>
      </c>
      <c r="B99" s="30">
        <f t="shared" si="15"/>
        <v>734628.48830477486</v>
      </c>
    </row>
    <row r="100" spans="1:2">
      <c r="A100">
        <v>2063</v>
      </c>
      <c r="B100" s="30">
        <f t="shared" si="15"/>
        <v>734628.48830477486</v>
      </c>
    </row>
    <row r="101" spans="1:2">
      <c r="A101">
        <v>2064</v>
      </c>
      <c r="B101" s="30">
        <f t="shared" si="15"/>
        <v>734628.48830477486</v>
      </c>
    </row>
    <row r="102" spans="1:2">
      <c r="A102">
        <v>2065</v>
      </c>
      <c r="B102" s="30">
        <f t="shared" si="15"/>
        <v>734628.48830477486</v>
      </c>
    </row>
    <row r="103" spans="1:2">
      <c r="A103">
        <v>2066</v>
      </c>
      <c r="B103" s="30">
        <f t="shared" si="15"/>
        <v>734628.48830477486</v>
      </c>
    </row>
    <row r="104" spans="1:2">
      <c r="A104">
        <v>2067</v>
      </c>
      <c r="B104" s="30">
        <f t="shared" si="15"/>
        <v>734628.48830477486</v>
      </c>
    </row>
    <row r="105" spans="1:2">
      <c r="A105">
        <v>2068</v>
      </c>
      <c r="B105" s="30">
        <f t="shared" si="15"/>
        <v>734628.48830477486</v>
      </c>
    </row>
    <row r="106" spans="1:2">
      <c r="A106">
        <v>2069</v>
      </c>
      <c r="B106" s="30">
        <f t="shared" si="15"/>
        <v>734628.48830477486</v>
      </c>
    </row>
    <row r="107" spans="1:2">
      <c r="A107">
        <v>2070</v>
      </c>
      <c r="B107" s="30">
        <f t="shared" si="15"/>
        <v>734628.48830477486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4B4A-05A3-4E29-ABEA-617E55286957}">
  <sheetPr codeName="Sheet8"/>
  <dimension ref="A1:C10"/>
  <sheetViews>
    <sheetView workbookViewId="0">
      <selection activeCell="A17" sqref="A17"/>
    </sheetView>
  </sheetViews>
  <sheetFormatPr defaultRowHeight="14.45"/>
  <cols>
    <col min="1" max="1" width="17.5703125" customWidth="1"/>
    <col min="2" max="2" width="22" customWidth="1"/>
  </cols>
  <sheetData>
    <row r="1" spans="1:3">
      <c r="A1" s="41" t="s">
        <v>77</v>
      </c>
      <c r="B1" s="41"/>
      <c r="C1" s="41"/>
    </row>
    <row r="3" spans="1:3">
      <c r="A3" s="1" t="s">
        <v>78</v>
      </c>
      <c r="B3" s="42" t="s">
        <v>79</v>
      </c>
    </row>
    <row r="4" spans="1:3">
      <c r="A4" t="s">
        <v>43</v>
      </c>
      <c r="B4" s="35">
        <v>0.63</v>
      </c>
    </row>
    <row r="5" spans="1:3">
      <c r="A5" t="s">
        <v>46</v>
      </c>
      <c r="B5" s="35">
        <v>0.56000000000000005</v>
      </c>
    </row>
    <row r="6" spans="1:3">
      <c r="A6" t="s">
        <v>80</v>
      </c>
      <c r="B6" s="35">
        <v>0.35</v>
      </c>
    </row>
    <row r="8" spans="1:3">
      <c r="A8" t="s">
        <v>81</v>
      </c>
    </row>
    <row r="9" spans="1:3">
      <c r="A9" t="s">
        <v>82</v>
      </c>
    </row>
    <row r="10" spans="1:3">
      <c r="A10" t="s">
        <v>83</v>
      </c>
      <c r="B10" s="43">
        <f>AVERAGE(B4:B5)</f>
        <v>0.59499999999999997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3"/>
  <sheetViews>
    <sheetView workbookViewId="0"/>
  </sheetViews>
  <sheetFormatPr defaultRowHeight="14.45"/>
  <sheetData>
    <row r="1" spans="1:2">
      <c r="A1" t="s">
        <v>84</v>
      </c>
    </row>
    <row r="2" spans="1:2">
      <c r="A2" t="s">
        <v>85</v>
      </c>
    </row>
    <row r="3" spans="1:2">
      <c r="A3">
        <v>0.85899999999999999</v>
      </c>
      <c r="B3" t="s">
        <v>86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/>
  </sheetPr>
  <dimension ref="A1:B52"/>
  <sheetViews>
    <sheetView workbookViewId="0">
      <selection activeCell="G8" sqref="G8"/>
    </sheetView>
  </sheetViews>
  <sheetFormatPr defaultRowHeight="14.45"/>
  <cols>
    <col min="2" max="2" width="15.140625" customWidth="1"/>
  </cols>
  <sheetData>
    <row r="1" spans="1:2">
      <c r="A1" s="40" t="s">
        <v>87</v>
      </c>
      <c r="B1" t="s">
        <v>88</v>
      </c>
    </row>
    <row r="2" spans="1:2">
      <c r="A2">
        <v>2020</v>
      </c>
      <c r="B2" s="7">
        <f>'India Calcs'!B57</f>
        <v>734628.48830477486</v>
      </c>
    </row>
    <row r="3" spans="1:2">
      <c r="A3">
        <v>2021</v>
      </c>
      <c r="B3" s="7">
        <f>'India Calcs'!B58</f>
        <v>734628.48830477486</v>
      </c>
    </row>
    <row r="4" spans="1:2">
      <c r="A4">
        <v>2022</v>
      </c>
      <c r="B4" s="7">
        <f>'India Calcs'!B59</f>
        <v>734628.48830477486</v>
      </c>
    </row>
    <row r="5" spans="1:2">
      <c r="A5">
        <v>2023</v>
      </c>
      <c r="B5" s="7">
        <f>'India Calcs'!B60</f>
        <v>734628.48830477486</v>
      </c>
    </row>
    <row r="6" spans="1:2">
      <c r="A6">
        <v>2024</v>
      </c>
      <c r="B6" s="7">
        <f>'India Calcs'!B61</f>
        <v>734628.48830477486</v>
      </c>
    </row>
    <row r="7" spans="1:2">
      <c r="A7">
        <v>2025</v>
      </c>
      <c r="B7" s="7">
        <f>'India Calcs'!B62</f>
        <v>734628.48830477486</v>
      </c>
    </row>
    <row r="8" spans="1:2">
      <c r="A8">
        <v>2026</v>
      </c>
      <c r="B8" s="7">
        <f>'India Calcs'!B63</f>
        <v>734628.48830477486</v>
      </c>
    </row>
    <row r="9" spans="1:2">
      <c r="A9">
        <v>2027</v>
      </c>
      <c r="B9" s="7">
        <f>'India Calcs'!B64</f>
        <v>734628.48830477486</v>
      </c>
    </row>
    <row r="10" spans="1:2">
      <c r="A10">
        <v>2028</v>
      </c>
      <c r="B10" s="7">
        <f>'India Calcs'!B65</f>
        <v>734628.48830477486</v>
      </c>
    </row>
    <row r="11" spans="1:2">
      <c r="A11">
        <v>2029</v>
      </c>
      <c r="B11" s="7">
        <f>'India Calcs'!B66</f>
        <v>734628.48830477486</v>
      </c>
    </row>
    <row r="12" spans="1:2">
      <c r="A12">
        <v>2030</v>
      </c>
      <c r="B12" s="7">
        <f>'India Calcs'!B67</f>
        <v>734628.48830477486</v>
      </c>
    </row>
    <row r="13" spans="1:2">
      <c r="A13">
        <v>2031</v>
      </c>
      <c r="B13" s="7">
        <f>'India Calcs'!B68</f>
        <v>734628.48830477486</v>
      </c>
    </row>
    <row r="14" spans="1:2">
      <c r="A14">
        <v>2032</v>
      </c>
      <c r="B14" s="7">
        <f>'India Calcs'!B69</f>
        <v>734628.48830477486</v>
      </c>
    </row>
    <row r="15" spans="1:2">
      <c r="A15">
        <v>2033</v>
      </c>
      <c r="B15" s="7">
        <f>'India Calcs'!B70</f>
        <v>734628.48830477486</v>
      </c>
    </row>
    <row r="16" spans="1:2">
      <c r="A16">
        <v>2034</v>
      </c>
      <c r="B16" s="7">
        <f>'India Calcs'!B71</f>
        <v>734628.48830477486</v>
      </c>
    </row>
    <row r="17" spans="1:2">
      <c r="A17">
        <v>2035</v>
      </c>
      <c r="B17" s="7">
        <f>'India Calcs'!B72</f>
        <v>734628.48830477486</v>
      </c>
    </row>
    <row r="18" spans="1:2">
      <c r="A18">
        <v>2036</v>
      </c>
      <c r="B18" s="7">
        <f>'India Calcs'!B73</f>
        <v>734628.48830477486</v>
      </c>
    </row>
    <row r="19" spans="1:2">
      <c r="A19">
        <v>2037</v>
      </c>
      <c r="B19" s="7">
        <f>'India Calcs'!B74</f>
        <v>734628.48830477486</v>
      </c>
    </row>
    <row r="20" spans="1:2">
      <c r="A20">
        <v>2038</v>
      </c>
      <c r="B20" s="7">
        <f>'India Calcs'!B75</f>
        <v>734628.48830477486</v>
      </c>
    </row>
    <row r="21" spans="1:2">
      <c r="A21">
        <v>2039</v>
      </c>
      <c r="B21" s="7">
        <f>'India Calcs'!B76</f>
        <v>734628.48830477486</v>
      </c>
    </row>
    <row r="22" spans="1:2">
      <c r="A22">
        <v>2040</v>
      </c>
      <c r="B22" s="7">
        <f>'India Calcs'!B77</f>
        <v>734628.48830477486</v>
      </c>
    </row>
    <row r="23" spans="1:2">
      <c r="A23">
        <v>2041</v>
      </c>
      <c r="B23" s="7">
        <f>'India Calcs'!B78</f>
        <v>734628.48830477486</v>
      </c>
    </row>
    <row r="24" spans="1:2">
      <c r="A24">
        <v>2042</v>
      </c>
      <c r="B24" s="7">
        <f>'India Calcs'!B79</f>
        <v>734628.48830477486</v>
      </c>
    </row>
    <row r="25" spans="1:2">
      <c r="A25">
        <v>2043</v>
      </c>
      <c r="B25" s="7">
        <f>'India Calcs'!B80</f>
        <v>734628.48830477486</v>
      </c>
    </row>
    <row r="26" spans="1:2">
      <c r="A26">
        <v>2044</v>
      </c>
      <c r="B26" s="7">
        <f>'India Calcs'!B81</f>
        <v>734628.48830477486</v>
      </c>
    </row>
    <row r="27" spans="1:2">
      <c r="A27">
        <v>2045</v>
      </c>
      <c r="B27" s="7">
        <f>'India Calcs'!B82</f>
        <v>734628.48830477486</v>
      </c>
    </row>
    <row r="28" spans="1:2">
      <c r="A28">
        <v>2046</v>
      </c>
      <c r="B28" s="7">
        <f>'India Calcs'!B83</f>
        <v>734628.48830477486</v>
      </c>
    </row>
    <row r="29" spans="1:2">
      <c r="A29">
        <v>2047</v>
      </c>
      <c r="B29" s="7">
        <f>'India Calcs'!B84</f>
        <v>734628.48830477486</v>
      </c>
    </row>
    <row r="30" spans="1:2">
      <c r="A30">
        <v>2048</v>
      </c>
      <c r="B30" s="7">
        <f>'India Calcs'!B85</f>
        <v>734628.48830477486</v>
      </c>
    </row>
    <row r="31" spans="1:2">
      <c r="A31">
        <v>2049</v>
      </c>
      <c r="B31" s="7">
        <f>'India Calcs'!B86</f>
        <v>734628.48830477486</v>
      </c>
    </row>
    <row r="32" spans="1:2">
      <c r="A32">
        <v>2050</v>
      </c>
      <c r="B32" s="7">
        <f>'India Calcs'!B87</f>
        <v>734628.48830477486</v>
      </c>
    </row>
    <row r="33" spans="1:2">
      <c r="A33">
        <v>2051</v>
      </c>
      <c r="B33" s="7">
        <f>'India Calcs'!B88</f>
        <v>734628.48830477486</v>
      </c>
    </row>
    <row r="34" spans="1:2">
      <c r="A34">
        <v>2052</v>
      </c>
      <c r="B34" s="7">
        <f>'India Calcs'!B89</f>
        <v>734628.48830477486</v>
      </c>
    </row>
    <row r="35" spans="1:2">
      <c r="A35">
        <v>2053</v>
      </c>
      <c r="B35" s="7">
        <f>'India Calcs'!B90</f>
        <v>734628.48830477486</v>
      </c>
    </row>
    <row r="36" spans="1:2">
      <c r="A36">
        <v>2054</v>
      </c>
      <c r="B36" s="7">
        <f>'India Calcs'!B91</f>
        <v>734628.48830477486</v>
      </c>
    </row>
    <row r="37" spans="1:2">
      <c r="A37">
        <v>2055</v>
      </c>
      <c r="B37" s="7">
        <f>'India Calcs'!B92</f>
        <v>734628.48830477486</v>
      </c>
    </row>
    <row r="38" spans="1:2">
      <c r="A38">
        <v>2056</v>
      </c>
      <c r="B38" s="7">
        <f>'India Calcs'!B93</f>
        <v>734628.48830477486</v>
      </c>
    </row>
    <row r="39" spans="1:2">
      <c r="A39">
        <v>2057</v>
      </c>
      <c r="B39" s="7">
        <f>'India Calcs'!B94</f>
        <v>734628.48830477486</v>
      </c>
    </row>
    <row r="40" spans="1:2">
      <c r="A40">
        <v>2058</v>
      </c>
      <c r="B40" s="7">
        <f>'India Calcs'!B95</f>
        <v>734628.48830477486</v>
      </c>
    </row>
    <row r="41" spans="1:2">
      <c r="A41">
        <v>2059</v>
      </c>
      <c r="B41" s="7">
        <f>'India Calcs'!B96</f>
        <v>734628.48830477486</v>
      </c>
    </row>
    <row r="42" spans="1:2">
      <c r="A42">
        <v>2060</v>
      </c>
      <c r="B42" s="7">
        <f>'India Calcs'!B97</f>
        <v>734628.48830477486</v>
      </c>
    </row>
    <row r="43" spans="1:2">
      <c r="A43">
        <v>2061</v>
      </c>
      <c r="B43" s="7">
        <f>'India Calcs'!B98</f>
        <v>734628.48830477486</v>
      </c>
    </row>
    <row r="44" spans="1:2">
      <c r="A44">
        <v>2062</v>
      </c>
      <c r="B44" s="7">
        <f>'India Calcs'!B99</f>
        <v>734628.48830477486</v>
      </c>
    </row>
    <row r="45" spans="1:2">
      <c r="A45">
        <v>2063</v>
      </c>
      <c r="B45" s="7">
        <f>'India Calcs'!B100</f>
        <v>734628.48830477486</v>
      </c>
    </row>
    <row r="46" spans="1:2">
      <c r="A46">
        <v>2064</v>
      </c>
      <c r="B46" s="7">
        <f>'India Calcs'!B101</f>
        <v>734628.48830477486</v>
      </c>
    </row>
    <row r="47" spans="1:2">
      <c r="A47">
        <v>2065</v>
      </c>
      <c r="B47" s="7">
        <f>'India Calcs'!B102</f>
        <v>734628.48830477486</v>
      </c>
    </row>
    <row r="48" spans="1:2">
      <c r="A48">
        <v>2066</v>
      </c>
      <c r="B48" s="7">
        <f>'India Calcs'!B103</f>
        <v>734628.48830477486</v>
      </c>
    </row>
    <row r="49" spans="1:2">
      <c r="A49">
        <v>2067</v>
      </c>
      <c r="B49" s="7">
        <f>'India Calcs'!B104</f>
        <v>734628.48830477486</v>
      </c>
    </row>
    <row r="50" spans="1:2">
      <c r="A50">
        <v>2068</v>
      </c>
      <c r="B50" s="7">
        <f>'India Calcs'!B105</f>
        <v>734628.48830477486</v>
      </c>
    </row>
    <row r="51" spans="1:2">
      <c r="A51">
        <v>2069</v>
      </c>
      <c r="B51" s="7">
        <f>'India Calcs'!B106</f>
        <v>734628.48830477486</v>
      </c>
    </row>
    <row r="52" spans="1:2">
      <c r="A52">
        <v>2070</v>
      </c>
      <c r="B52" s="7">
        <f>'India Calcs'!B107</f>
        <v>734628.48830477486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6DBD-63B3-4DA0-B567-40F43A54A945}">
  <sheetPr codeName="Sheet7">
    <tabColor theme="3"/>
  </sheetPr>
  <dimension ref="A1:B52"/>
  <sheetViews>
    <sheetView workbookViewId="0">
      <selection activeCell="G7" sqref="G7"/>
    </sheetView>
  </sheetViews>
  <sheetFormatPr defaultRowHeight="14.45"/>
  <cols>
    <col min="1" max="1" width="12.28515625" customWidth="1"/>
    <col min="2" max="2" width="15.140625" customWidth="1"/>
  </cols>
  <sheetData>
    <row r="1" spans="1:2">
      <c r="A1" s="40" t="s">
        <v>87</v>
      </c>
      <c r="B1" t="s">
        <v>89</v>
      </c>
    </row>
    <row r="2" spans="1:2">
      <c r="A2">
        <v>2020</v>
      </c>
      <c r="B2">
        <f>'CpUDSC-totalcost'!B2*'Soft Cost Data'!$B$10</f>
        <v>437103.95054134104</v>
      </c>
    </row>
    <row r="3" spans="1:2">
      <c r="A3">
        <v>2021</v>
      </c>
      <c r="B3">
        <f>'CpUDSC-totalcost'!B3*'Soft Cost Data'!$B$10</f>
        <v>437103.95054134104</v>
      </c>
    </row>
    <row r="4" spans="1:2">
      <c r="A4">
        <v>2022</v>
      </c>
      <c r="B4">
        <f>'CpUDSC-totalcost'!B4*'Soft Cost Data'!$B$10</f>
        <v>437103.95054134104</v>
      </c>
    </row>
    <row r="5" spans="1:2">
      <c r="A5">
        <v>2023</v>
      </c>
      <c r="B5">
        <f>'CpUDSC-totalcost'!B5*'Soft Cost Data'!$B$10</f>
        <v>437103.95054134104</v>
      </c>
    </row>
    <row r="6" spans="1:2">
      <c r="A6">
        <v>2024</v>
      </c>
      <c r="B6">
        <f>'CpUDSC-totalcost'!B6*'Soft Cost Data'!$B$10</f>
        <v>437103.95054134104</v>
      </c>
    </row>
    <row r="7" spans="1:2">
      <c r="A7">
        <v>2025</v>
      </c>
      <c r="B7">
        <f>'CpUDSC-totalcost'!B7*'Soft Cost Data'!$B$10</f>
        <v>437103.95054134104</v>
      </c>
    </row>
    <row r="8" spans="1:2">
      <c r="A8">
        <v>2026</v>
      </c>
      <c r="B8">
        <f>'CpUDSC-totalcost'!B8*'Soft Cost Data'!$B$10</f>
        <v>437103.95054134104</v>
      </c>
    </row>
    <row r="9" spans="1:2">
      <c r="A9">
        <v>2027</v>
      </c>
      <c r="B9">
        <f>'CpUDSC-totalcost'!B9*'Soft Cost Data'!$B$10</f>
        <v>437103.95054134104</v>
      </c>
    </row>
    <row r="10" spans="1:2">
      <c r="A10">
        <v>2028</v>
      </c>
      <c r="B10">
        <f>'CpUDSC-totalcost'!B10*'Soft Cost Data'!$B$10</f>
        <v>437103.95054134104</v>
      </c>
    </row>
    <row r="11" spans="1:2">
      <c r="A11">
        <v>2029</v>
      </c>
      <c r="B11">
        <f>'CpUDSC-totalcost'!B11*'Soft Cost Data'!$B$10</f>
        <v>437103.95054134104</v>
      </c>
    </row>
    <row r="12" spans="1:2">
      <c r="A12">
        <v>2030</v>
      </c>
      <c r="B12">
        <f>'CpUDSC-totalcost'!B12*'Soft Cost Data'!$B$10</f>
        <v>437103.95054134104</v>
      </c>
    </row>
    <row r="13" spans="1:2">
      <c r="A13">
        <v>2031</v>
      </c>
      <c r="B13">
        <f>'CpUDSC-totalcost'!B13*'Soft Cost Data'!$B$10</f>
        <v>437103.95054134104</v>
      </c>
    </row>
    <row r="14" spans="1:2">
      <c r="A14">
        <v>2032</v>
      </c>
      <c r="B14">
        <f>'CpUDSC-totalcost'!B14*'Soft Cost Data'!$B$10</f>
        <v>437103.95054134104</v>
      </c>
    </row>
    <row r="15" spans="1:2">
      <c r="A15">
        <v>2033</v>
      </c>
      <c r="B15">
        <f>'CpUDSC-totalcost'!B15*'Soft Cost Data'!$B$10</f>
        <v>437103.95054134104</v>
      </c>
    </row>
    <row r="16" spans="1:2">
      <c r="A16">
        <v>2034</v>
      </c>
      <c r="B16">
        <f>'CpUDSC-totalcost'!B16*'Soft Cost Data'!$B$10</f>
        <v>437103.95054134104</v>
      </c>
    </row>
    <row r="17" spans="1:2">
      <c r="A17">
        <v>2035</v>
      </c>
      <c r="B17">
        <f>'CpUDSC-totalcost'!B17*'Soft Cost Data'!$B$10</f>
        <v>437103.95054134104</v>
      </c>
    </row>
    <row r="18" spans="1:2">
      <c r="A18">
        <v>2036</v>
      </c>
      <c r="B18">
        <f>'CpUDSC-totalcost'!B18*'Soft Cost Data'!$B$10</f>
        <v>437103.95054134104</v>
      </c>
    </row>
    <row r="19" spans="1:2">
      <c r="A19">
        <v>2037</v>
      </c>
      <c r="B19">
        <f>'CpUDSC-totalcost'!B19*'Soft Cost Data'!$B$10</f>
        <v>437103.95054134104</v>
      </c>
    </row>
    <row r="20" spans="1:2">
      <c r="A20">
        <v>2038</v>
      </c>
      <c r="B20">
        <f>'CpUDSC-totalcost'!B20*'Soft Cost Data'!$B$10</f>
        <v>437103.95054134104</v>
      </c>
    </row>
    <row r="21" spans="1:2">
      <c r="A21">
        <v>2039</v>
      </c>
      <c r="B21">
        <f>'CpUDSC-totalcost'!B21*'Soft Cost Data'!$B$10</f>
        <v>437103.95054134104</v>
      </c>
    </row>
    <row r="22" spans="1:2">
      <c r="A22">
        <v>2040</v>
      </c>
      <c r="B22">
        <f>'CpUDSC-totalcost'!B22*'Soft Cost Data'!$B$10</f>
        <v>437103.95054134104</v>
      </c>
    </row>
    <row r="23" spans="1:2">
      <c r="A23">
        <v>2041</v>
      </c>
      <c r="B23">
        <f>'CpUDSC-totalcost'!B23*'Soft Cost Data'!$B$10</f>
        <v>437103.95054134104</v>
      </c>
    </row>
    <row r="24" spans="1:2">
      <c r="A24">
        <v>2042</v>
      </c>
      <c r="B24">
        <f>'CpUDSC-totalcost'!B24*'Soft Cost Data'!$B$10</f>
        <v>437103.95054134104</v>
      </c>
    </row>
    <row r="25" spans="1:2">
      <c r="A25">
        <v>2043</v>
      </c>
      <c r="B25">
        <f>'CpUDSC-totalcost'!B25*'Soft Cost Data'!$B$10</f>
        <v>437103.95054134104</v>
      </c>
    </row>
    <row r="26" spans="1:2">
      <c r="A26">
        <v>2044</v>
      </c>
      <c r="B26">
        <f>'CpUDSC-totalcost'!B26*'Soft Cost Data'!$B$10</f>
        <v>437103.95054134104</v>
      </c>
    </row>
    <row r="27" spans="1:2">
      <c r="A27">
        <v>2045</v>
      </c>
      <c r="B27">
        <f>'CpUDSC-totalcost'!B27*'Soft Cost Data'!$B$10</f>
        <v>437103.95054134104</v>
      </c>
    </row>
    <row r="28" spans="1:2">
      <c r="A28">
        <v>2046</v>
      </c>
      <c r="B28">
        <f>'CpUDSC-totalcost'!B28*'Soft Cost Data'!$B$10</f>
        <v>437103.95054134104</v>
      </c>
    </row>
    <row r="29" spans="1:2">
      <c r="A29">
        <v>2047</v>
      </c>
      <c r="B29">
        <f>'CpUDSC-totalcost'!B29*'Soft Cost Data'!$B$10</f>
        <v>437103.95054134104</v>
      </c>
    </row>
    <row r="30" spans="1:2">
      <c r="A30">
        <v>2048</v>
      </c>
      <c r="B30">
        <f>'CpUDSC-totalcost'!B30*'Soft Cost Data'!$B$10</f>
        <v>437103.95054134104</v>
      </c>
    </row>
    <row r="31" spans="1:2">
      <c r="A31">
        <v>2049</v>
      </c>
      <c r="B31">
        <f>'CpUDSC-totalcost'!B31*'Soft Cost Data'!$B$10</f>
        <v>437103.95054134104</v>
      </c>
    </row>
    <row r="32" spans="1:2">
      <c r="A32">
        <v>2050</v>
      </c>
      <c r="B32">
        <f>'CpUDSC-totalcost'!B32*'Soft Cost Data'!$B$10</f>
        <v>437103.95054134104</v>
      </c>
    </row>
    <row r="33" spans="1:2">
      <c r="A33">
        <v>2051</v>
      </c>
      <c r="B33">
        <f>'CpUDSC-totalcost'!B33*'Soft Cost Data'!$B$10</f>
        <v>437103.95054134104</v>
      </c>
    </row>
    <row r="34" spans="1:2">
      <c r="A34">
        <v>2052</v>
      </c>
      <c r="B34">
        <f>'CpUDSC-totalcost'!B34*'Soft Cost Data'!$B$10</f>
        <v>437103.95054134104</v>
      </c>
    </row>
    <row r="35" spans="1:2">
      <c r="A35">
        <v>2053</v>
      </c>
      <c r="B35">
        <f>'CpUDSC-totalcost'!B35*'Soft Cost Data'!$B$10</f>
        <v>437103.95054134104</v>
      </c>
    </row>
    <row r="36" spans="1:2">
      <c r="A36">
        <v>2054</v>
      </c>
      <c r="B36">
        <f>'CpUDSC-totalcost'!B36*'Soft Cost Data'!$B$10</f>
        <v>437103.95054134104</v>
      </c>
    </row>
    <row r="37" spans="1:2">
      <c r="A37">
        <v>2055</v>
      </c>
      <c r="B37">
        <f>'CpUDSC-totalcost'!B37*'Soft Cost Data'!$B$10</f>
        <v>437103.95054134104</v>
      </c>
    </row>
    <row r="38" spans="1:2">
      <c r="A38">
        <v>2056</v>
      </c>
      <c r="B38">
        <f>'CpUDSC-totalcost'!B38*'Soft Cost Data'!$B$10</f>
        <v>437103.95054134104</v>
      </c>
    </row>
    <row r="39" spans="1:2">
      <c r="A39">
        <v>2057</v>
      </c>
      <c r="B39">
        <f>'CpUDSC-totalcost'!B39*'Soft Cost Data'!$B$10</f>
        <v>437103.95054134104</v>
      </c>
    </row>
    <row r="40" spans="1:2">
      <c r="A40">
        <v>2058</v>
      </c>
      <c r="B40">
        <f>'CpUDSC-totalcost'!B40*'Soft Cost Data'!$B$10</f>
        <v>437103.95054134104</v>
      </c>
    </row>
    <row r="41" spans="1:2">
      <c r="A41">
        <v>2059</v>
      </c>
      <c r="B41">
        <f>'CpUDSC-totalcost'!B41*'Soft Cost Data'!$B$10</f>
        <v>437103.95054134104</v>
      </c>
    </row>
    <row r="42" spans="1:2">
      <c r="A42">
        <v>2060</v>
      </c>
      <c r="B42">
        <f>'CpUDSC-totalcost'!B42*'Soft Cost Data'!$B$10</f>
        <v>437103.95054134104</v>
      </c>
    </row>
    <row r="43" spans="1:2">
      <c r="A43">
        <v>2061</v>
      </c>
      <c r="B43">
        <f>'CpUDSC-totalcost'!B43*'Soft Cost Data'!$B$10</f>
        <v>437103.95054134104</v>
      </c>
    </row>
    <row r="44" spans="1:2">
      <c r="A44">
        <v>2062</v>
      </c>
      <c r="B44">
        <f>'CpUDSC-totalcost'!B44*'Soft Cost Data'!$B$10</f>
        <v>437103.95054134104</v>
      </c>
    </row>
    <row r="45" spans="1:2">
      <c r="A45">
        <v>2063</v>
      </c>
      <c r="B45">
        <f>'CpUDSC-totalcost'!B45*'Soft Cost Data'!$B$10</f>
        <v>437103.95054134104</v>
      </c>
    </row>
    <row r="46" spans="1:2">
      <c r="A46">
        <v>2064</v>
      </c>
      <c r="B46">
        <f>'CpUDSC-totalcost'!B46*'Soft Cost Data'!$B$10</f>
        <v>437103.95054134104</v>
      </c>
    </row>
    <row r="47" spans="1:2">
      <c r="A47">
        <v>2065</v>
      </c>
      <c r="B47">
        <f>'CpUDSC-totalcost'!B47*'Soft Cost Data'!$B$10</f>
        <v>437103.95054134104</v>
      </c>
    </row>
    <row r="48" spans="1:2">
      <c r="A48">
        <v>2066</v>
      </c>
      <c r="B48">
        <f>'CpUDSC-totalcost'!B48*'Soft Cost Data'!$B$10</f>
        <v>437103.95054134104</v>
      </c>
    </row>
    <row r="49" spans="1:2">
      <c r="A49">
        <v>2067</v>
      </c>
      <c r="B49">
        <f>'CpUDSC-totalcost'!B49*'Soft Cost Data'!$B$10</f>
        <v>437103.95054134104</v>
      </c>
    </row>
    <row r="50" spans="1:2">
      <c r="A50">
        <v>2068</v>
      </c>
      <c r="B50">
        <f>'CpUDSC-totalcost'!B50*'Soft Cost Data'!$B$10</f>
        <v>437103.95054134104</v>
      </c>
    </row>
    <row r="51" spans="1:2">
      <c r="A51">
        <v>2069</v>
      </c>
      <c r="B51">
        <f>'CpUDSC-totalcost'!B51*'Soft Cost Data'!$B$10</f>
        <v>437103.95054134104</v>
      </c>
    </row>
    <row r="52" spans="1:2">
      <c r="A52">
        <v>2070</v>
      </c>
      <c r="B52">
        <f>'CpUDSC-totalcost'!B52*'Soft Cost Data'!$B$10</f>
        <v>437103.95054134104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25BFB3-9802-4864-8E96-5D5D0A951207}"/>
</file>

<file path=customXml/itemProps2.xml><?xml version="1.0" encoding="utf-8"?>
<ds:datastoreItem xmlns:ds="http://schemas.openxmlformats.org/officeDocument/2006/customXml" ds:itemID="{32D4E75A-2D76-45B1-836F-02BAB3B0619C}"/>
</file>

<file path=customXml/itemProps3.xml><?xml version="1.0" encoding="utf-8"?>
<ds:datastoreItem xmlns:ds="http://schemas.openxmlformats.org/officeDocument/2006/customXml" ds:itemID="{6BA25DEB-A6FC-445B-BEBC-CD2E61BD0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2016-01-28T21:18:50Z</dcterms:created>
  <dcterms:modified xsi:type="dcterms:W3CDTF">2024-09-25T07:58:56Z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