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1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ept\Dropbox\EPS\Input Data for India 2.0\land\CApULAbIFM\"/>
    </mc:Choice>
  </mc:AlternateContent>
  <xr:revisionPtr revIDLastSave="0" documentId="13_ncr:1_{D1FD453C-C493-4734-BC10-DC4B82D5AA1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bout" sheetId="1" r:id="rId1"/>
    <sheet name="Calculations" sheetId="4" r:id="rId2"/>
    <sheet name="CApULAbIFM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4" l="1"/>
  <c r="E4" i="4" s="1"/>
  <c r="C5" i="4"/>
  <c r="E5" i="4" s="1"/>
  <c r="C6" i="4"/>
  <c r="E6" i="4" s="1"/>
  <c r="C7" i="4"/>
  <c r="E7" i="4" s="1"/>
  <c r="C8" i="4"/>
  <c r="E8" i="4" s="1"/>
  <c r="C3" i="4"/>
  <c r="E3" i="4" s="1"/>
  <c r="E10" i="4" l="1"/>
  <c r="A13" i="4" s="1"/>
  <c r="B2" i="3" s="1"/>
</calcChain>
</file>

<file path=xl/sharedStrings.xml><?xml version="1.0" encoding="utf-8"?>
<sst xmlns="http://schemas.openxmlformats.org/spreadsheetml/2006/main" count="43" uniqueCount="43">
  <si>
    <t>CApULAbIFM CO2 Abated per Unit Land Area by Improved Forest Management</t>
  </si>
  <si>
    <t>Source 1:</t>
  </si>
  <si>
    <t>Enhanced Carbon Stocks Achievable by Improved Forest Management</t>
  </si>
  <si>
    <t>GHGPI Phase III Emissions Estimates AFOLU sector (2005 - 2015)</t>
  </si>
  <si>
    <t>Indian Council of Forestry Research and Education</t>
  </si>
  <si>
    <t>GHGPI Platform India - Vasudha Foundation</t>
  </si>
  <si>
    <t>Singh,Tajinder Pal</t>
  </si>
  <si>
    <t xml:space="preserve">Dhingra, S., Singh, D., and Mehta, R. </t>
  </si>
  <si>
    <t>http://web.archive.org/web/20170918224752/http://www.teriuniversity.ac.in/mct/pdf/assignment/TP-Singh.pdf</t>
  </si>
  <si>
    <t>http://www.ghgplatform-india.org/afolu-sector</t>
  </si>
  <si>
    <t>Conservation and Enhancement of Forest Carbon Stocks</t>
  </si>
  <si>
    <t>Sheets: Forest Area, Forest Change Matrix</t>
  </si>
  <si>
    <t>India’s proposed Modified Submission on Forest Reference Levels for REDD+ 
Result based Payments under UNFCCC</t>
  </si>
  <si>
    <t>MoEF</t>
  </si>
  <si>
    <t>https://redd.unfccc.int/files/modified_submission_of_frl_02_november_2018.pdf</t>
  </si>
  <si>
    <t xml:space="preserve">Notes: </t>
  </si>
  <si>
    <t xml:space="preserve">The India-specific source available is from 2012, where the change in carbon stock  </t>
  </si>
  <si>
    <t>and change in area is estimated across management practices (Source 1)</t>
  </si>
  <si>
    <t xml:space="preserve">While more recent data on change in carbon stock and forest area is available in </t>
  </si>
  <si>
    <t xml:space="preserve">GHGPI's database (for 2015) (Source 2), it is not diversifed in terms of forest </t>
  </si>
  <si>
    <t>management activities. Hence, we use the 2012 estimates from the ICFRE study</t>
  </si>
  <si>
    <t>We take a weighted average of the forest types.</t>
  </si>
  <si>
    <t>Another official source on India's Submission (modified) on Forest Reference Levels for REDD+</t>
  </si>
  <si>
    <t xml:space="preserve">However, this only states the baseline stocks and not incremental stocks from improved  </t>
  </si>
  <si>
    <t>forest management practices (Source 3)</t>
  </si>
  <si>
    <t>Increased Annual CO2 Sequestration Achievable by Improved Management Practices per Acre</t>
  </si>
  <si>
    <t>Forest Type</t>
  </si>
  <si>
    <t>Area (ha)</t>
  </si>
  <si>
    <t>Area (acres)</t>
  </si>
  <si>
    <t>Enhanced Carbon Stocks (tCO2-e per year)</t>
  </si>
  <si>
    <t>Enhanced Carbon Stocks by area (tCO2-e per year/acre)</t>
  </si>
  <si>
    <t>Restoration of Moderately Dense</t>
  </si>
  <si>
    <t>Restoration of Open Forests</t>
  </si>
  <si>
    <t>Restoration of scrub and grassland</t>
  </si>
  <si>
    <t>Enhancement of Mangroves</t>
  </si>
  <si>
    <t>Enhancing Urban Areas</t>
  </si>
  <si>
    <t xml:space="preserve">Agro-forestry </t>
  </si>
  <si>
    <t>Weighted Average</t>
  </si>
  <si>
    <t>Weighted Average CO2 Abatement Achievable by Improved Management Practices per Acre</t>
  </si>
  <si>
    <t>g CO2 / acre / yr</t>
  </si>
  <si>
    <t>Average, converted to grams CO2</t>
  </si>
  <si>
    <t>Per Acre</t>
  </si>
  <si>
    <t>CO2 Abated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</si>
</sst>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3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2" fillId="0" borderId="0" xfId="1"/>
    <xf numFmtId="1" fontId="1" fillId="0" borderId="0" xfId="0" applyNumberFormat="1" applyFont="1"/>
    <xf numFmtId="0" fontId="1" fillId="2" borderId="0" xfId="0" applyFont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redd.unfccc.int/files/modified_submission_of_frl_02_november_2018.pdf" TargetMode="External"/><Relationship Id="rId1" Type="http://schemas.openxmlformats.org/officeDocument/2006/relationships/hyperlink" Target="http://www.ghgplatform-india.org/afolu-sect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selection activeCell="J15" sqref="J15"/>
    </sheetView>
  </sheetViews>
  <sheetFormatPr defaultRowHeight="15"/>
  <cols>
    <col min="11" max="11" width="73.42578125" customWidth="1"/>
  </cols>
  <sheetData>
    <row r="1" spans="1:11" ht="14.45">
      <c r="A1" s="1" t="s">
        <v>0</v>
      </c>
    </row>
    <row r="3" spans="1:11">
      <c r="A3" s="1" t="s">
        <v>1</v>
      </c>
      <c r="B3" s="7" t="s">
        <v>2</v>
      </c>
      <c r="C3" s="8"/>
      <c r="D3" s="8"/>
      <c r="E3" s="8"/>
      <c r="F3" s="8"/>
      <c r="G3" s="8"/>
      <c r="H3" s="8"/>
      <c r="J3" s="10">
        <v>2</v>
      </c>
      <c r="K3" s="7" t="s">
        <v>3</v>
      </c>
    </row>
    <row r="4" spans="1:11">
      <c r="A4" s="1"/>
      <c r="B4" t="s">
        <v>4</v>
      </c>
      <c r="K4" t="s">
        <v>5</v>
      </c>
    </row>
    <row r="5" spans="1:11">
      <c r="A5" s="1"/>
      <c r="B5" s="4">
        <v>2012</v>
      </c>
      <c r="K5" s="4">
        <v>2019</v>
      </c>
    </row>
    <row r="6" spans="1:11">
      <c r="A6" s="1"/>
      <c r="B6" t="s">
        <v>6</v>
      </c>
      <c r="K6" t="s">
        <v>7</v>
      </c>
    </row>
    <row r="7" spans="1:11">
      <c r="B7" s="9" t="s">
        <v>8</v>
      </c>
      <c r="K7" s="9" t="s">
        <v>9</v>
      </c>
    </row>
    <row r="8" spans="1:11">
      <c r="A8" s="1"/>
      <c r="B8" t="s">
        <v>10</v>
      </c>
      <c r="K8" t="s">
        <v>11</v>
      </c>
    </row>
    <row r="11" spans="1:11" ht="30">
      <c r="J11" s="10">
        <v>3</v>
      </c>
      <c r="K11" s="11" t="s">
        <v>12</v>
      </c>
    </row>
    <row r="12" spans="1:11">
      <c r="K12" t="s">
        <v>13</v>
      </c>
    </row>
    <row r="13" spans="1:11">
      <c r="K13" s="4">
        <v>2018</v>
      </c>
    </row>
    <row r="14" spans="1:11">
      <c r="K14" s="9" t="s">
        <v>14</v>
      </c>
    </row>
    <row r="15" spans="1:11">
      <c r="K15" s="9"/>
    </row>
    <row r="16" spans="1:11">
      <c r="A16" s="1" t="s">
        <v>15</v>
      </c>
    </row>
    <row r="17" spans="1:1">
      <c r="A17" t="s">
        <v>16</v>
      </c>
    </row>
    <row r="18" spans="1:1">
      <c r="A18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5" spans="1:1">
      <c r="A25" t="s">
        <v>22</v>
      </c>
    </row>
    <row r="26" spans="1:1">
      <c r="A26" t="s">
        <v>23</v>
      </c>
    </row>
    <row r="27" spans="1:1">
      <c r="A27" t="s">
        <v>24</v>
      </c>
    </row>
  </sheetData>
  <hyperlinks>
    <hyperlink ref="K7" r:id="rId1" xr:uid="{8A9735FE-1BEE-4470-9D8C-6D01625B79BA}"/>
    <hyperlink ref="K14" r:id="rId2" xr:uid="{F72DA327-12DB-461E-A6E3-29AA55656005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>
      <selection activeCell="A19" sqref="A19"/>
    </sheetView>
  </sheetViews>
  <sheetFormatPr defaultRowHeight="15"/>
  <cols>
    <col min="1" max="1" width="35" customWidth="1"/>
    <col min="2" max="2" width="30.42578125" customWidth="1"/>
    <col min="3" max="3" width="19" customWidth="1"/>
    <col min="4" max="4" width="38.5703125" customWidth="1"/>
    <col min="5" max="5" width="49.28515625" customWidth="1"/>
    <col min="6" max="7" width="12" bestFit="1" customWidth="1"/>
  </cols>
  <sheetData>
    <row r="1" spans="1:5">
      <c r="A1" s="7" t="s">
        <v>25</v>
      </c>
      <c r="B1" s="7"/>
      <c r="C1" s="8"/>
      <c r="D1" s="8"/>
      <c r="E1" s="8"/>
    </row>
    <row r="2" spans="1:5">
      <c r="A2" t="s">
        <v>26</v>
      </c>
      <c r="B2" t="s">
        <v>27</v>
      </c>
      <c r="C2" t="s">
        <v>28</v>
      </c>
      <c r="D2" t="s">
        <v>29</v>
      </c>
      <c r="E2" t="s">
        <v>30</v>
      </c>
    </row>
    <row r="3" spans="1:5">
      <c r="A3" t="s">
        <v>31</v>
      </c>
      <c r="B3" s="5">
        <v>2000000</v>
      </c>
      <c r="C3">
        <f>B3*2.47105</f>
        <v>4942100</v>
      </c>
      <c r="D3" s="5">
        <v>2930000</v>
      </c>
      <c r="E3" s="6">
        <f>D3/C3</f>
        <v>0.5928653811132919</v>
      </c>
    </row>
    <row r="4" spans="1:5">
      <c r="A4" t="s">
        <v>32</v>
      </c>
      <c r="B4" s="5">
        <v>4000000</v>
      </c>
      <c r="C4">
        <f t="shared" ref="C4:C8" si="0">B4*2.47105</f>
        <v>9884200</v>
      </c>
      <c r="D4" s="5">
        <v>22000000</v>
      </c>
      <c r="E4" s="6">
        <f t="shared" ref="E4:E8" si="1">D4/C4</f>
        <v>2.2257744683434169</v>
      </c>
    </row>
    <row r="5" spans="1:5">
      <c r="A5" t="s">
        <v>33</v>
      </c>
      <c r="B5" s="5">
        <v>1200000</v>
      </c>
      <c r="C5">
        <f t="shared" si="0"/>
        <v>2965260</v>
      </c>
      <c r="D5" s="5">
        <v>5100000</v>
      </c>
      <c r="E5" s="6">
        <f t="shared" si="1"/>
        <v>1.7199166346290038</v>
      </c>
    </row>
    <row r="6" spans="1:5">
      <c r="A6" t="s">
        <v>34</v>
      </c>
      <c r="B6" s="5">
        <v>100000</v>
      </c>
      <c r="C6">
        <f t="shared" si="0"/>
        <v>247105</v>
      </c>
      <c r="D6" s="5">
        <v>910000</v>
      </c>
      <c r="E6" s="6">
        <f t="shared" si="1"/>
        <v>3.6826450294409261</v>
      </c>
    </row>
    <row r="7" spans="1:5">
      <c r="A7" t="s">
        <v>35</v>
      </c>
      <c r="B7" s="5">
        <v>200000</v>
      </c>
      <c r="C7">
        <f t="shared" si="0"/>
        <v>494210</v>
      </c>
      <c r="D7" s="5">
        <v>220000</v>
      </c>
      <c r="E7" s="6">
        <f t="shared" si="1"/>
        <v>0.44515489366868333</v>
      </c>
    </row>
    <row r="8" spans="1:5">
      <c r="A8" t="s">
        <v>36</v>
      </c>
      <c r="B8" s="5">
        <v>1500000</v>
      </c>
      <c r="C8">
        <f t="shared" si="0"/>
        <v>3706575</v>
      </c>
      <c r="D8" s="5">
        <v>8140000</v>
      </c>
      <c r="E8" s="6">
        <f t="shared" si="1"/>
        <v>2.1960974754321714</v>
      </c>
    </row>
    <row r="9" spans="1:5">
      <c r="E9" s="6"/>
    </row>
    <row r="10" spans="1:5">
      <c r="D10" s="2" t="s">
        <v>37</v>
      </c>
      <c r="E10" s="6">
        <f>SUMPRODUCT(E3:E8,D3:D8)/SUM(D3:D8)</f>
        <v>2.0560072063674619</v>
      </c>
    </row>
    <row r="12" spans="1:5">
      <c r="A12" t="s">
        <v>38</v>
      </c>
    </row>
    <row r="13" spans="1:5">
      <c r="A13" s="3">
        <f>E10*1000000</f>
        <v>2056007.2063674619</v>
      </c>
      <c r="B13" t="s">
        <v>39</v>
      </c>
      <c r="C13" t="s">
        <v>40</v>
      </c>
      <c r="E1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RowHeight="15"/>
  <cols>
    <col min="1" max="1" width="15.140625" customWidth="1"/>
  </cols>
  <sheetData>
    <row r="1" spans="1:2">
      <c r="B1" s="2" t="s">
        <v>41</v>
      </c>
    </row>
    <row r="2" spans="1:2">
      <c r="A2" t="s">
        <v>42</v>
      </c>
      <c r="B2" s="3">
        <f>Calculations!A13</f>
        <v>2056007.2063674619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231805-BA79-4251-9269-50D062E0A1BC}"/>
</file>

<file path=customXml/itemProps2.xml><?xml version="1.0" encoding="utf-8"?>
<ds:datastoreItem xmlns:ds="http://schemas.openxmlformats.org/officeDocument/2006/customXml" ds:itemID="{D7258275-396F-48F6-BA48-9A1C901E5A73}"/>
</file>

<file path=customXml/itemProps3.xml><?xml version="1.0" encoding="utf-8"?>
<ds:datastoreItem xmlns:ds="http://schemas.openxmlformats.org/officeDocument/2006/customXml" ds:itemID="{4B75A2A3-6F51-4E70-8733-F2559A6DF7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Richa Richa</cp:lastModifiedBy>
  <cp:revision/>
  <dcterms:created xsi:type="dcterms:W3CDTF">2017-01-27T07:34:22Z</dcterms:created>
  <dcterms:modified xsi:type="dcterms:W3CDTF">2024-04-21T16:36:27Z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