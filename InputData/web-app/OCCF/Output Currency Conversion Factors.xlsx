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web-app\OCCF\"/>
    </mc:Choice>
  </mc:AlternateContent>
  <xr:revisionPtr revIDLastSave="59" documentId="13_ncr:1_{6B6FEF58-08A4-48D5-A6A7-14155C535D30}" xr6:coauthVersionLast="47" xr6:coauthVersionMax="47" xr10:uidLastSave="{02B8CEDD-50B2-48D4-A13E-89C1854AF0EE}"/>
  <bookViews>
    <workbookView xWindow="38280" yWindow="-120" windowWidth="29040" windowHeight="17520" activeTab="1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2" i="4"/>
  <c r="B2" i="2"/>
  <c r="A35" i="1"/>
  <c r="A23" i="1"/>
  <c r="A19" i="1"/>
</calcChain>
</file>

<file path=xl/sharedStrings.xml><?xml version="1.0" encoding="utf-8"?>
<sst xmlns="http://schemas.openxmlformats.org/spreadsheetml/2006/main" count="39" uniqueCount="37">
  <si>
    <t>OCCF Dollars per Large Output Currency Unit</t>
  </si>
  <si>
    <t>OCCF Dollars per Medium Output Currency Unit</t>
  </si>
  <si>
    <t>OCCF Dollars per Small Output Currency Unit</t>
  </si>
  <si>
    <t>Source:</t>
  </si>
  <si>
    <t>See cpi.xlsx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</si>
  <si>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</si>
  <si>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</si>
  <si>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</si>
  <si>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</si>
  <si>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</si>
  <si>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</si>
  <si>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</si>
  <si>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For the India model:</t>
  </si>
  <si>
    <t>Large Output Currency Unit</t>
  </si>
  <si>
    <t>2021 lakh crores</t>
  </si>
  <si>
    <t>rupees per lakh crore</t>
  </si>
  <si>
    <t>Medium Output Currency Unit</t>
  </si>
  <si>
    <t>2021 lakhs</t>
  </si>
  <si>
    <t>rupees per lakh</t>
  </si>
  <si>
    <t>Small Output Currency Unit</t>
  </si>
  <si>
    <t>2021 rupees</t>
  </si>
  <si>
    <t>Rupees per dollar</t>
  </si>
  <si>
    <t>https://www.poundsterlinglive.com/history/USD-INR-2021</t>
  </si>
  <si>
    <t>US Inflation Rate</t>
  </si>
  <si>
    <t>see cpi.xlsx</t>
  </si>
  <si>
    <t>2021 to 2012 dollar adjustment</t>
  </si>
  <si>
    <t>2021 rupees per 2012 dollar</t>
  </si>
  <si>
    <t>Recall, this variable is "dollars per large/medium/small currency output unit"</t>
  </si>
  <si>
    <t>which in this case is "2012 dollars per 2021 rupee"</t>
  </si>
  <si>
    <t>2012 dollars are worth more than 2018 rupees, so we need a</t>
  </si>
  <si>
    <t>value less than 1 in this variable.</t>
  </si>
  <si>
    <t>This is why we multiply, not divide, by the conversion</t>
  </si>
  <si>
    <t>factor above.</t>
  </si>
  <si>
    <t>2021 Lakh Crore Rupees</t>
  </si>
  <si>
    <t>2012 Dollars</t>
  </si>
  <si>
    <t>2018 Lakh Rupees</t>
  </si>
  <si>
    <t>2018 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</si>
</sst>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5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64" fontId="0" fillId="0" borderId="0" xfId="0" applyNumberFormat="1"/>
    <xf numFmtId="0" fontId="3" fillId="0" borderId="0" xfId="0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10" fontId="0" fillId="0" borderId="0" xfId="0" applyNumberFormat="1"/>
    <xf numFmtId="165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oundsterlinglive.com/history/USD-INR-2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opLeftCell="A26" workbookViewId="0">
      <selection activeCell="J25" sqref="J25"/>
    </sheetView>
  </sheetViews>
  <sheetFormatPr defaultRowHeight="14.45"/>
  <cols>
    <col min="1" max="1" width="16.28515625" customWidth="1"/>
    <col min="2" max="2" width="26.28515625" customWidth="1"/>
  </cols>
  <sheetData>
    <row r="1" spans="1:2">
      <c r="A1" s="1" t="s">
        <v>0</v>
      </c>
    </row>
    <row r="2" spans="1:2">
      <c r="A2" s="1" t="s">
        <v>1</v>
      </c>
    </row>
    <row r="3" spans="1:2">
      <c r="A3" s="1" t="s">
        <v>2</v>
      </c>
    </row>
    <row r="5" spans="1:2">
      <c r="A5" s="1" t="s">
        <v>3</v>
      </c>
      <c r="B5" t="s">
        <v>4</v>
      </c>
    </row>
    <row r="7" spans="1:2">
      <c r="A7" s="1" t="s">
        <v>5</v>
      </c>
    </row>
    <row r="8" spans="1:2">
      <c r="A8" t="s">
        <v>6</v>
      </c>
    </row>
    <row r="9" spans="1:2">
      <c r="A9" t="s">
        <v>7</v>
      </c>
    </row>
    <row r="10" spans="1:2">
      <c r="A10" t="s">
        <v>8</v>
      </c>
    </row>
    <row r="11" spans="1:2">
      <c r="A11" t="s">
        <v>9</v>
      </c>
    </row>
    <row r="12" spans="1:2">
      <c r="A12" t="s">
        <v>10</v>
      </c>
    </row>
    <row r="13" spans="1:2">
      <c r="A13" t="s">
        <v>11</v>
      </c>
    </row>
    <row r="15" spans="1:2" ht="15">
      <c r="A15" s="1" t="s">
        <v>12</v>
      </c>
    </row>
    <row r="16" spans="1:2" ht="15"/>
    <row r="17" spans="1:3" ht="15">
      <c r="A17" s="4" t="s">
        <v>13</v>
      </c>
      <c r="B17" s="5"/>
    </row>
    <row r="18" spans="1:3" ht="15">
      <c r="A18" t="s">
        <v>14</v>
      </c>
    </row>
    <row r="19" spans="1:3" ht="15">
      <c r="A19" s="7">
        <f>10^7*10^5</f>
        <v>1000000000000</v>
      </c>
      <c r="B19" t="s">
        <v>15</v>
      </c>
    </row>
    <row r="20" spans="1:3" ht="15">
      <c r="A20" s="7"/>
    </row>
    <row r="21" spans="1:3" ht="15">
      <c r="A21" s="4" t="s">
        <v>16</v>
      </c>
      <c r="B21" s="5"/>
    </row>
    <row r="22" spans="1:3" ht="15">
      <c r="A22" t="s">
        <v>17</v>
      </c>
    </row>
    <row r="23" spans="1:3" ht="15">
      <c r="A23">
        <f>10^5</f>
        <v>100000</v>
      </c>
      <c r="B23" t="s">
        <v>18</v>
      </c>
    </row>
    <row r="24" spans="1:3" ht="15"/>
    <row r="25" spans="1:3" ht="15">
      <c r="A25" s="4" t="s">
        <v>19</v>
      </c>
      <c r="B25" s="5"/>
    </row>
    <row r="26" spans="1:3" ht="15">
      <c r="A26" t="s">
        <v>20</v>
      </c>
    </row>
    <row r="27" spans="1:3" ht="15"/>
    <row r="28" spans="1:3" ht="15">
      <c r="A28" s="1" t="s">
        <v>21</v>
      </c>
    </row>
    <row r="29" spans="1:3" ht="15">
      <c r="A29">
        <v>2021</v>
      </c>
      <c r="B29">
        <v>73.946299999999994</v>
      </c>
      <c r="C29" s="13" t="s">
        <v>22</v>
      </c>
    </row>
    <row r="30" spans="1:3" ht="15"/>
    <row r="31" spans="1:3" ht="15">
      <c r="A31" s="1" t="s">
        <v>23</v>
      </c>
      <c r="B31" s="8" t="s">
        <v>24</v>
      </c>
    </row>
    <row r="32" spans="1:3" ht="30.75">
      <c r="A32" s="9" t="s">
        <v>25</v>
      </c>
      <c r="B32" s="10">
        <v>0.84699999999999998</v>
      </c>
    </row>
    <row r="33" spans="1:3" ht="15">
      <c r="B33" s="11"/>
      <c r="C33" s="12"/>
    </row>
    <row r="34" spans="1:3" ht="15"/>
    <row r="35" spans="1:3" ht="15">
      <c r="A35">
        <f xml:space="preserve"> B32/B29</f>
        <v>1.1454258022375697E-2</v>
      </c>
      <c r="B35" t="s">
        <v>26</v>
      </c>
    </row>
    <row r="36" spans="1:3" ht="15"/>
    <row r="37" spans="1:3" ht="15">
      <c r="B37" t="s">
        <v>27</v>
      </c>
    </row>
    <row r="38" spans="1:3" ht="15">
      <c r="B38" t="s">
        <v>28</v>
      </c>
    </row>
    <row r="39" spans="1:3" ht="15">
      <c r="B39" t="s">
        <v>29</v>
      </c>
    </row>
    <row r="40" spans="1:3" ht="15">
      <c r="B40" t="s">
        <v>30</v>
      </c>
    </row>
    <row r="41" spans="1:3" ht="15">
      <c r="B41" t="s">
        <v>31</v>
      </c>
    </row>
    <row r="42" spans="1:3" ht="15">
      <c r="B42" t="s">
        <v>32</v>
      </c>
    </row>
    <row r="43" spans="1:3" ht="15"/>
  </sheetData>
  <hyperlinks>
    <hyperlink ref="C29" r:id="rId1" xr:uid="{4871607C-F158-41DE-AFBD-654EC8BE9EA1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tabSelected="1" workbookViewId="0">
      <selection activeCell="D13" sqref="D13"/>
    </sheetView>
  </sheetViews>
  <sheetFormatPr defaultRowHeight="14.45"/>
  <cols>
    <col min="1" max="1" width="15" customWidth="1"/>
    <col min="2" max="2" width="22.28515625" customWidth="1"/>
  </cols>
  <sheetData>
    <row r="1" spans="1:2">
      <c r="B1" s="3" t="s">
        <v>33</v>
      </c>
    </row>
    <row r="2" spans="1:2">
      <c r="A2" s="1" t="s">
        <v>34</v>
      </c>
      <c r="B2" s="2">
        <f>About!A19*About!A35</f>
        <v>11454258022.375696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4.45"/>
  <cols>
    <col min="1" max="1" width="11.42578125" customWidth="1"/>
    <col min="2" max="2" width="24" customWidth="1"/>
  </cols>
  <sheetData>
    <row r="1" spans="1:2">
      <c r="B1" s="3" t="s">
        <v>35</v>
      </c>
    </row>
    <row r="2" spans="1:2">
      <c r="A2" s="1" t="s">
        <v>34</v>
      </c>
      <c r="B2" s="6">
        <f>About!A23*About!A35</f>
        <v>1145.4258022375698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>
      <selection activeCell="D15" sqref="D15"/>
    </sheetView>
  </sheetViews>
  <sheetFormatPr defaultRowHeight="14.45"/>
  <cols>
    <col min="1" max="1" width="12.7109375" customWidth="1"/>
    <col min="2" max="2" width="18.7109375" customWidth="1"/>
  </cols>
  <sheetData>
    <row r="1" spans="1:2">
      <c r="B1" s="3" t="s">
        <v>36</v>
      </c>
    </row>
    <row r="2" spans="1:2">
      <c r="A2" s="1" t="s">
        <v>34</v>
      </c>
      <c r="B2">
        <f>1*About!A35</f>
        <v>1.1454258022375697E-2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9D9831-0D8F-445C-97B1-06DD8D5A26BB}"/>
</file>

<file path=customXml/itemProps2.xml><?xml version="1.0" encoding="utf-8"?>
<ds:datastoreItem xmlns:ds="http://schemas.openxmlformats.org/officeDocument/2006/customXml" ds:itemID="{70C4FDE8-77B3-496C-8EFF-F2C7F3165FDA}"/>
</file>

<file path=customXml/itemProps3.xml><?xml version="1.0" encoding="utf-8"?>
<ds:datastoreItem xmlns:ds="http://schemas.openxmlformats.org/officeDocument/2006/customXml" ds:itemID="{D49C68DE-7E7C-4AD9-ACC2-1533DF0251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Siddharth Mohapatra</cp:lastModifiedBy>
  <cp:revision/>
  <dcterms:created xsi:type="dcterms:W3CDTF">2016-02-24T02:29:19Z</dcterms:created>
  <dcterms:modified xsi:type="dcterms:W3CDTF">2025-07-09T10:28:58Z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