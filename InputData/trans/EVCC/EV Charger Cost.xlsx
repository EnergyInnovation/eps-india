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olivia\Dropbox (Energy Innovation)\Documents\EPS_Models by Region\India\India_Model\InputData\trans\EVCC\"/>
    </mc:Choice>
  </mc:AlternateContent>
  <xr:revisionPtr revIDLastSave="120" documentId="13_ncr:1_{B6D74A78-154F-43D1-9883-F1C3B9134BA7}" xr6:coauthVersionLast="47" xr6:coauthVersionMax="47" xr10:uidLastSave="{705884B2-DDD8-4E0D-B487-B340A571537D}"/>
  <bookViews>
    <workbookView xWindow="12690" yWindow="945" windowWidth="15615" windowHeight="13545" firstSheet="2" xr2:uid="{00000000-000D-0000-FFFF-FFFF00000000}"/>
  </bookViews>
  <sheets>
    <sheet name="About" sheetId="1" r:id="rId1"/>
    <sheet name="Data_India" sheetId="4" r:id="rId2"/>
    <sheet name="EVC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5" i="4"/>
  <c r="B2" i="2" s="1"/>
  <c r="C13" i="4"/>
  <c r="C3" i="4"/>
  <c r="B15" i="4"/>
  <c r="B14" i="4"/>
  <c r="B13" i="4"/>
  <c r="C9" i="4"/>
  <c r="C10" i="4"/>
  <c r="C8" i="4"/>
  <c r="C4" i="4"/>
  <c r="B5" i="4" l="1"/>
  <c r="C5" i="4" s="1"/>
</calcChain>
</file>

<file path=xl/sharedStrings.xml><?xml version="1.0" encoding="utf-8"?>
<sst xmlns="http://schemas.openxmlformats.org/spreadsheetml/2006/main" count="38" uniqueCount="34">
  <si>
    <t>EVCC Electric Vehicle Charger Cost</t>
  </si>
  <si>
    <t>Source:</t>
  </si>
  <si>
    <t>Costs</t>
  </si>
  <si>
    <t>All India EV</t>
  </si>
  <si>
    <t>"Setup EV Charging Stations in India: A Guide"</t>
  </si>
  <si>
    <t>https://allindiaev.com/setup-ev-charging-stations-in-india-a-guide/</t>
  </si>
  <si>
    <t>Accessed 12/11/2024</t>
  </si>
  <si>
    <t>Notes</t>
  </si>
  <si>
    <t>We have taken a simple average of the costs for CHAdeMO and CCS chargers, as their costs are similar to each</t>
  </si>
  <si>
    <t xml:space="preserve">other and they are the mandaded fast chargers by government of India. </t>
  </si>
  <si>
    <t>Moreover, we do not track level 1 chargers, which may be just</t>
  </si>
  <si>
    <t>a standard electrical outlet in any home or business.</t>
  </si>
  <si>
    <t>Currency Conversion</t>
  </si>
  <si>
    <t>We assume the costs given in this document</t>
  </si>
  <si>
    <t>are in 2024 rupees.  We convert 2024 dollars to 2012 dollars via: (see Completed EPS Variables/cpi.xlxs)</t>
  </si>
  <si>
    <t>Conversion Rates</t>
  </si>
  <si>
    <t>(see Completed EPS Variables/scaling-factors.xlxs)</t>
  </si>
  <si>
    <t>Rupees per dollar</t>
  </si>
  <si>
    <t>Charger Type</t>
  </si>
  <si>
    <t>Cost of Charger (rupees)</t>
  </si>
  <si>
    <t>USD (2012)</t>
  </si>
  <si>
    <t>CCS</t>
  </si>
  <si>
    <t>CHAdeMO</t>
  </si>
  <si>
    <t>Average</t>
  </si>
  <si>
    <t>Installation costs</t>
  </si>
  <si>
    <t>Cost (rupees)</t>
  </si>
  <si>
    <t>Electricity transformers, connections and energy meters</t>
  </si>
  <si>
    <t>Civil works</t>
  </si>
  <si>
    <t>EVSE management software and integration</t>
  </si>
  <si>
    <t>Capex</t>
  </si>
  <si>
    <t>Charger Cost</t>
  </si>
  <si>
    <t>Total</t>
  </si>
  <si>
    <t>Cap Cost</t>
  </si>
  <si>
    <t>EV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</si>
</sst>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164" fontId="0" fillId="0" borderId="0" xfId="2" applyNumberFormat="1" applyFont="1"/>
    <xf numFmtId="0" fontId="1" fillId="0" borderId="0" xfId="0" applyFont="1" applyAlignment="1">
      <alignment horizontal="left"/>
    </xf>
    <xf numFmtId="0" fontId="0" fillId="4" borderId="0" xfId="0" applyFill="1"/>
    <xf numFmtId="0" fontId="1" fillId="4" borderId="0" xfId="0" applyFont="1" applyFill="1"/>
    <xf numFmtId="1" fontId="0" fillId="3" borderId="0" xfId="0" applyNumberFormat="1" applyFill="1"/>
    <xf numFmtId="0" fontId="4" fillId="0" borderId="0" xfId="0" applyFont="1"/>
    <xf numFmtId="0" fontId="0" fillId="0" borderId="0" xfId="0" applyFill="1" applyAlignment="1">
      <alignment horizontal="left"/>
    </xf>
    <xf numFmtId="2" fontId="0" fillId="0" borderId="0" xfId="0" applyNumberFormat="1" applyAlignment="1">
      <alignment horizontal="righ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lindiaev.com/setup-ev-charging-stations-in-india-a-gui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21" workbookViewId="0">
      <selection activeCell="B25" sqref="B25"/>
    </sheetView>
  </sheetViews>
  <sheetFormatPr defaultRowHeight="15"/>
  <cols>
    <col min="1" max="1" width="25.28515625" customWidth="1"/>
    <col min="2" max="2" width="67.57031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B4" t="s">
        <v>3</v>
      </c>
    </row>
    <row r="5" spans="1:2">
      <c r="B5" s="3">
        <v>2024</v>
      </c>
    </row>
    <row r="6" spans="1:2">
      <c r="B6" t="s">
        <v>4</v>
      </c>
    </row>
    <row r="7" spans="1:2">
      <c r="B7" s="2" t="s">
        <v>5</v>
      </c>
    </row>
    <row r="8" spans="1:2">
      <c r="B8" t="s">
        <v>6</v>
      </c>
    </row>
    <row r="10" spans="1:2">
      <c r="A10" s="1" t="s">
        <v>7</v>
      </c>
    </row>
    <row r="11" spans="1:2">
      <c r="A11" t="s">
        <v>8</v>
      </c>
      <c r="B11" s="2"/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6" spans="1:2">
      <c r="A16" s="8" t="s">
        <v>12</v>
      </c>
    </row>
    <row r="17" spans="1:3">
      <c r="A17" s="3" t="s">
        <v>13</v>
      </c>
    </row>
    <row r="18" spans="1:3">
      <c r="A18" s="3" t="s">
        <v>14</v>
      </c>
    </row>
    <row r="19" spans="1:3">
      <c r="A19" s="13">
        <v>0.73</v>
      </c>
      <c r="B19" s="12"/>
    </row>
    <row r="21" spans="1:3">
      <c r="A21" s="1" t="s">
        <v>15</v>
      </c>
    </row>
    <row r="22" spans="1:3">
      <c r="A22" t="s">
        <v>16</v>
      </c>
    </row>
    <row r="24" spans="1:3">
      <c r="A24" s="1" t="s">
        <v>17</v>
      </c>
    </row>
    <row r="25" spans="1:3">
      <c r="A25">
        <v>2024</v>
      </c>
      <c r="B25" s="14">
        <v>84.842699999999994</v>
      </c>
      <c r="C25" s="12"/>
    </row>
  </sheetData>
  <hyperlinks>
    <hyperlink ref="B7" r:id="rId1" xr:uid="{CEADF708-FA51-4F44-9700-3FBF423EA08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67C1-B211-4E0B-9B27-6996ED67AB36}">
  <dimension ref="A2:C15"/>
  <sheetViews>
    <sheetView topLeftCell="A9" workbookViewId="0">
      <selection activeCell="C13" sqref="C13"/>
    </sheetView>
  </sheetViews>
  <sheetFormatPr defaultRowHeight="15"/>
  <cols>
    <col min="1" max="1" width="18.7109375" customWidth="1"/>
    <col min="2" max="2" width="23.28515625" customWidth="1"/>
    <col min="3" max="3" width="10.5703125" bestFit="1" customWidth="1"/>
  </cols>
  <sheetData>
    <row r="2" spans="1:3">
      <c r="A2" s="9" t="s">
        <v>18</v>
      </c>
      <c r="B2" s="9" t="s">
        <v>19</v>
      </c>
      <c r="C2" s="9" t="s">
        <v>20</v>
      </c>
    </row>
    <row r="3" spans="1:3">
      <c r="A3" t="s">
        <v>21</v>
      </c>
      <c r="B3">
        <v>1400000</v>
      </c>
      <c r="C3" s="7">
        <f>B3/About!$B$25*About!$A$19</f>
        <v>12045.821266885661</v>
      </c>
    </row>
    <row r="4" spans="1:3">
      <c r="A4" t="s">
        <v>22</v>
      </c>
      <c r="B4">
        <v>1350000</v>
      </c>
      <c r="C4" s="7">
        <f>B4/About!$B$25*About!$A$19</f>
        <v>11615.613364496887</v>
      </c>
    </row>
    <row r="5" spans="1:3">
      <c r="A5" t="s">
        <v>23</v>
      </c>
      <c r="B5">
        <f>AVERAGE(B3:B4)</f>
        <v>1375000</v>
      </c>
      <c r="C5" s="7">
        <f>B5/About!$B$25*About!$A$19</f>
        <v>11830.717315691274</v>
      </c>
    </row>
    <row r="7" spans="1:3">
      <c r="A7" s="9" t="s">
        <v>24</v>
      </c>
      <c r="B7" s="9" t="s">
        <v>25</v>
      </c>
      <c r="C7" s="9" t="s">
        <v>20</v>
      </c>
    </row>
    <row r="8" spans="1:3">
      <c r="A8" t="s">
        <v>26</v>
      </c>
      <c r="B8">
        <v>750000</v>
      </c>
      <c r="C8" s="5">
        <f>B8/About!$B$25*About!$A$19</f>
        <v>6453.1185358316034</v>
      </c>
    </row>
    <row r="9" spans="1:3">
      <c r="A9" t="s">
        <v>27</v>
      </c>
      <c r="B9">
        <v>250000</v>
      </c>
      <c r="C9" s="5">
        <f>B9/About!$B$25*About!$A$19</f>
        <v>2151.0395119438681</v>
      </c>
    </row>
    <row r="10" spans="1:3">
      <c r="A10" t="s">
        <v>28</v>
      </c>
      <c r="B10">
        <v>40000</v>
      </c>
      <c r="C10" s="5">
        <f>B10/About!$B$25*About!$A$19</f>
        <v>344.16632191101888</v>
      </c>
    </row>
    <row r="12" spans="1:3">
      <c r="A12" s="10" t="s">
        <v>29</v>
      </c>
      <c r="B12" s="9" t="s">
        <v>25</v>
      </c>
      <c r="C12" s="9" t="s">
        <v>20</v>
      </c>
    </row>
    <row r="13" spans="1:3">
      <c r="A13" t="s">
        <v>30</v>
      </c>
      <c r="B13">
        <f>B5</f>
        <v>1375000</v>
      </c>
      <c r="C13" s="5">
        <f>B13/About!$B$25*About!$A$19</f>
        <v>11830.717315691274</v>
      </c>
    </row>
    <row r="14" spans="1:3">
      <c r="A14" t="s">
        <v>24</v>
      </c>
      <c r="B14">
        <f>SUM(B8:B10)</f>
        <v>1040000</v>
      </c>
      <c r="C14" s="5">
        <f>B14/About!$B$25*About!$A$19</f>
        <v>8948.3243696864902</v>
      </c>
    </row>
    <row r="15" spans="1:3">
      <c r="A15" t="s">
        <v>31</v>
      </c>
      <c r="B15">
        <f>SUM(B13:B14)</f>
        <v>2415000</v>
      </c>
      <c r="C15" s="11">
        <f>B15/About!$B$25*About!$A$19</f>
        <v>20779.041685377764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>
      <selection activeCell="B2" sqref="B2"/>
    </sheetView>
  </sheetViews>
  <sheetFormatPr defaultRowHeight="15"/>
  <cols>
    <col min="1" max="1" width="12.140625" customWidth="1"/>
    <col min="2" max="2" width="15.28515625" customWidth="1"/>
  </cols>
  <sheetData>
    <row r="1" spans="1:2">
      <c r="B1" s="4" t="s">
        <v>32</v>
      </c>
    </row>
    <row r="2" spans="1:2">
      <c r="A2" t="s">
        <v>33</v>
      </c>
      <c r="B2" s="5">
        <f>Data_India!C15</f>
        <v>20779.041685377764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28AD48-754A-4B98-8A6B-C3363043B9AE}"/>
</file>

<file path=customXml/itemProps2.xml><?xml version="1.0" encoding="utf-8"?>
<ds:datastoreItem xmlns:ds="http://schemas.openxmlformats.org/officeDocument/2006/customXml" ds:itemID="{C3F9CB48-9B8C-413A-946D-45396911AEB1}"/>
</file>

<file path=customXml/itemProps3.xml><?xml version="1.0" encoding="utf-8"?>
<ds:datastoreItem xmlns:ds="http://schemas.openxmlformats.org/officeDocument/2006/customXml" ds:itemID="{64C8FAEF-72C6-4D3F-B2C2-E642AC083A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2019-06-04T22:54:17Z</dcterms:created>
  <dcterms:modified xsi:type="dcterms:W3CDTF">2024-12-20T06:52:35Z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