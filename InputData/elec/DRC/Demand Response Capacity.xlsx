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wri-my.sharepoint.com/personal/varun_agarwal_wri_org/Documents/EPS India 2.0/EPS 2023/EPS India Update-2023-24/Completed EPS Variables/elec/"/>
    </mc:Choice>
  </mc:AlternateContent>
  <xr:revisionPtr revIDLastSave="73" documentId="13_ncr:1_{845A6FAA-504D-4C75-BC8B-E953DE6936DD}" xr6:coauthVersionLast="47" xr6:coauthVersionMax="47" xr10:uidLastSave="{9BE82E4D-BEEC-4D36-999A-2A61053CAA7F}"/>
  <bookViews>
    <workbookView xWindow="-120" yWindow="-16320" windowWidth="29040" windowHeight="15840" firstSheet="4" activeTab="3" xr2:uid="{00000000-000D-0000-FFFF-FFFF00000000}"/>
  </bookViews>
  <sheets>
    <sheet name="About" sheetId="1" r:id="rId1"/>
    <sheet name="India calcs" sheetId="8" r:id="rId2"/>
    <sheet name="references" sheetId="9" r:id="rId3"/>
    <sheet name="DRC-BDRC" sheetId="5" r:id="rId4"/>
    <sheet name="DRC-PADRC" sheetId="2" r:id="rId5"/>
    <sheet name="DRC-ADRHpDRE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2" l="1"/>
  <c r="AJ40" i="8"/>
  <c r="AK40" i="8"/>
  <c r="AL40" i="8"/>
  <c r="AM40" i="8"/>
  <c r="AN40" i="8"/>
  <c r="AO40" i="8"/>
  <c r="AP40" i="8"/>
  <c r="AQ40" i="8"/>
  <c r="AR40" i="8"/>
  <c r="AS40" i="8"/>
  <c r="AT40" i="8"/>
  <c r="AU40" i="8"/>
  <c r="AV40" i="8"/>
  <c r="AW40" i="8"/>
  <c r="AX40" i="8"/>
  <c r="AY40" i="8"/>
  <c r="AZ40" i="8"/>
  <c r="BA40" i="8"/>
  <c r="BB40" i="8"/>
  <c r="AI40" i="8"/>
  <c r="AJ37" i="8"/>
  <c r="AK37" i="8"/>
  <c r="AL37" i="8"/>
  <c r="AM37" i="8"/>
  <c r="AN37" i="8"/>
  <c r="AO37" i="8"/>
  <c r="AP37" i="8"/>
  <c r="AQ37" i="8"/>
  <c r="AR37" i="8"/>
  <c r="AS37" i="8"/>
  <c r="AT37" i="8"/>
  <c r="AU37" i="8"/>
  <c r="AV37" i="8"/>
  <c r="AW37" i="8"/>
  <c r="AX37" i="8"/>
  <c r="AY37" i="8"/>
  <c r="AZ37" i="8"/>
  <c r="BA37" i="8"/>
  <c r="BB37" i="8"/>
  <c r="AI37" i="8"/>
  <c r="AJ2" i="2" l="1"/>
  <c r="AK2" i="2" l="1"/>
  <c r="AL2" i="2" l="1"/>
  <c r="AM2" i="2" l="1"/>
  <c r="AN2" i="2" l="1"/>
  <c r="AO2" i="2" l="1"/>
  <c r="AP2" i="2" l="1"/>
  <c r="AQ2" i="2" l="1"/>
  <c r="AR2" i="2" l="1"/>
  <c r="AS2" i="2" l="1"/>
  <c r="AT2" i="2" l="1"/>
  <c r="AU2" i="2" l="1"/>
  <c r="AV2" i="2" l="1"/>
  <c r="AW2" i="2" l="1"/>
  <c r="AX2" i="2" l="1"/>
  <c r="AY2" i="2" l="1"/>
  <c r="AZ2" i="2" l="1"/>
  <c r="BA2" i="2" l="1"/>
  <c r="BB2" i="2" s="1"/>
</calcChain>
</file>

<file path=xl/sharedStrings.xml><?xml version="1.0" encoding="utf-8"?>
<sst xmlns="http://schemas.openxmlformats.org/spreadsheetml/2006/main" count="70" uniqueCount="63">
  <si>
    <t>DRC BAU Demand Response Capacity</t>
  </si>
  <si>
    <t>DRC Potential Additional Demand Response Capacity</t>
  </si>
  <si>
    <t>DRC Hours of DR Average Utility May Call Upon per Year</t>
  </si>
  <si>
    <t>DRC Average DR Hours per DR Event</t>
  </si>
  <si>
    <t>Sources:</t>
  </si>
  <si>
    <t>Trends for BAU DR capacity till 2019</t>
  </si>
  <si>
    <t>Demand response potential in 2030 by end-uses</t>
  </si>
  <si>
    <t>Tata Power Delhi Distribution Limited (TPDDL)</t>
  </si>
  <si>
    <t>Climate Policy Initiative</t>
  </si>
  <si>
    <t>Smart Grid Journey</t>
  </si>
  <si>
    <t>Developing a roadmap to a flexible, low‐carbon Indian electricity system</t>
  </si>
  <si>
    <t>https://www.tatapower-ddl.com/UploadedDocuments/Presentation%20for%20USTDA%20Workshop%20250202015%20Ver%202.pdf</t>
  </si>
  <si>
    <t>https://www.climatepolicyinitiative.org/wp-content/uploads/2020/08/CPI-India-flexibility-25-August-2020-full-report-1.pdf</t>
  </si>
  <si>
    <t>Page 21</t>
  </si>
  <si>
    <t>Figure 3.4</t>
  </si>
  <si>
    <t>Trends for peak electricity demand till 2019</t>
  </si>
  <si>
    <t>Central electricity Authority</t>
  </si>
  <si>
    <t>National Electricity Plan (from 19th EPS)</t>
  </si>
  <si>
    <t>http://www.cea.nic.in/reports/committee/nep/nep_jan_2018.pdf</t>
  </si>
  <si>
    <t>Table 4.1</t>
  </si>
  <si>
    <t>Electricity consumption across sectors</t>
  </si>
  <si>
    <t>Ministry of Statistics and Programme Implementation</t>
  </si>
  <si>
    <t>Energy Statistics 2018</t>
  </si>
  <si>
    <t>http://mospi.nic.in/sites/default/files/publication_reports/Energy_Statistics_2018.pdf</t>
  </si>
  <si>
    <t>Table 6.9</t>
  </si>
  <si>
    <t>Notes for India version</t>
  </si>
  <si>
    <t>Demand response is defined as the potential to reduce or shift electricity usage during peak</t>
  </si>
  <si>
    <t>periods in response to time-based rates or other financial incentives.</t>
  </si>
  <si>
    <t xml:space="preserve">A case study of the TPDDL, CEA peak demand projections, and the percentage of demand from industrial and commercial sectors </t>
  </si>
  <si>
    <t>in total electricity demand  were used to estimate the 2019 base year DR capacity (based on the percentage reduction in peak demand in the TPDDL study).</t>
  </si>
  <si>
    <t xml:space="preserve">That was scaled for future BAU projections as per the growth in peak demand output of EPS. </t>
  </si>
  <si>
    <t xml:space="preserve">An estimate from a CPI report was used for the 2030 potential DR capacity, and the potential between 2019 and 2030 was scaled linearly. </t>
  </si>
  <si>
    <t>Between 2030 and 2050, the rest of the potential is scaled by growth in peak demand (EPS output).</t>
  </si>
  <si>
    <t>The clalculations extend the approach that was followed in the EPS 3.1 version of this file and extends the values up to 2070</t>
  </si>
  <si>
    <t>A part of the extension involves using peak demand values that were output from EPS. Therefore, this file will have to updated post calibration.</t>
  </si>
  <si>
    <t>Have used the minimum hours or demand respond hours during demand response event (1 hour) as India currently has very limited capacity to implement demand response</t>
  </si>
  <si>
    <t xml:space="preserve">Demand response is a fairly new initiative in India and we lack resources that directly offer long-term demand response projections. </t>
  </si>
  <si>
    <t>However, there have been several pilot programs for demand response across several locations and sectors.</t>
  </si>
  <si>
    <t>We can attempt to scale up the demand response from these pilot programs for an approximation</t>
  </si>
  <si>
    <t>Estimated
Base</t>
  </si>
  <si>
    <t>CPI-Mid Range
Potential</t>
  </si>
  <si>
    <t>CPI Potentials (GW) (2030)</t>
  </si>
  <si>
    <t>Low</t>
  </si>
  <si>
    <t>Mid*</t>
  </si>
  <si>
    <t>High</t>
  </si>
  <si>
    <t>Year</t>
  </si>
  <si>
    <t>(for ~600 GW peak load)</t>
  </si>
  <si>
    <t>DR Capacity (MW)</t>
  </si>
  <si>
    <t xml:space="preserve">* EPS peak is ~400 GW in 2030, so we assume the mid range estimate of CPI </t>
  </si>
  <si>
    <t>which is against a higher (~600 GW) peak in 2030</t>
  </si>
  <si>
    <t>However, we adjust to remove the contribution from EV charging, which</t>
  </si>
  <si>
    <t>is calculated separately in the EPS.</t>
  </si>
  <si>
    <t>Time (Time)</t>
  </si>
  <si>
    <t>Peak Hour Electricity Demand by Season[summer] : MostRecentRun</t>
  </si>
  <si>
    <t>Peak Hour Electricity Demand by Season[winter] : MostRecentRun</t>
  </si>
  <si>
    <t>Source: CPI Report, Figure 3.4</t>
  </si>
  <si>
    <t>Previous BDRC</t>
  </si>
  <si>
    <t>Potential Additional DR Capacity (MW)</t>
  </si>
  <si>
    <t>LinkedIn article on demand response</t>
  </si>
  <si>
    <t>https://www.linkedin.com/pulse/demand-response-potential-challenges-solutions-indian-ajay-yadav/</t>
  </si>
  <si>
    <t>Unit: hours</t>
  </si>
  <si>
    <t>Hours per Event</t>
  </si>
  <si>
    <t>DR Hours per DR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</si>
</sst>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b/>
      <strike/>
      <sz val="11"/>
      <color rgb="FF000000"/>
      <name val="Calibri"/>
      <scheme val="minor"/>
    </font>
    <font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1"/>
    <xf numFmtId="1" fontId="0" fillId="0" borderId="0" xfId="0" applyNumberFormat="1"/>
    <xf numFmtId="0" fontId="1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2" fillId="0" borderId="0" xfId="1" applyFill="1" applyBorder="1" applyAlignme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wrapText="1"/>
    </xf>
    <xf numFmtId="0" fontId="8" fillId="0" borderId="0" xfId="0" applyFont="1"/>
    <xf numFmtId="0" fontId="5" fillId="0" borderId="0" xfId="0" applyFont="1" applyAlignment="1">
      <alignment wrapText="1"/>
    </xf>
    <xf numFmtId="0" fontId="0" fillId="3" borderId="0" xfId="0" applyFill="1"/>
    <xf numFmtId="1" fontId="0" fillId="3" borderId="0" xfId="0" applyNumberFormat="1" applyFill="1"/>
    <xf numFmtId="0" fontId="5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16</xdr:row>
      <xdr:rowOff>0</xdr:rowOff>
    </xdr:from>
    <xdr:to>
      <xdr:col>12</xdr:col>
      <xdr:colOff>295275</xdr:colOff>
      <xdr:row>29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DC5305-B869-F22C-4EF9-18A26BF4E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400425"/>
          <a:ext cx="4562475" cy="2476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mospi.nic.in/sites/default/files/publication_reports/Energy_Statistics_2018.pdf" TargetMode="External"/><Relationship Id="rId2" Type="http://schemas.openxmlformats.org/officeDocument/2006/relationships/hyperlink" Target="https://www.climatepolicyinitiative.org/wp-content/uploads/2020/08/CPI-India-flexibility-25-August-2020-full-report-1.pdf" TargetMode="External"/><Relationship Id="rId1" Type="http://schemas.openxmlformats.org/officeDocument/2006/relationships/hyperlink" Target="https://www.tatapower-ddl.com/UploadedDocuments/Presentation%20for%20USTDA%20Workshop%20250202015%20Ver%202.pdf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pulse/demand-response-potential-challenges-solutions-indian-ajay-yadav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opLeftCell="A15" zoomScale="85" zoomScaleNormal="85" workbookViewId="0">
      <selection activeCell="A28" sqref="A28"/>
    </sheetView>
  </sheetViews>
  <sheetFormatPr defaultRowHeight="14.45"/>
  <cols>
    <col min="2" max="2" width="107.28515625" customWidth="1"/>
  </cols>
  <sheetData>
    <row r="1" spans="1:7" ht="15">
      <c r="A1" s="1" t="s">
        <v>0</v>
      </c>
    </row>
    <row r="2" spans="1:7" ht="15">
      <c r="A2" s="1" t="s">
        <v>1</v>
      </c>
    </row>
    <row r="3" spans="1:7" ht="15">
      <c r="A3" s="12" t="s">
        <v>2</v>
      </c>
    </row>
    <row r="4" spans="1:7" ht="15">
      <c r="A4" s="1" t="s">
        <v>3</v>
      </c>
    </row>
    <row r="6" spans="1:7" ht="15">
      <c r="A6" s="7" t="s">
        <v>4</v>
      </c>
      <c r="B6" s="9" t="s">
        <v>5</v>
      </c>
      <c r="C6" s="8"/>
      <c r="D6" s="8"/>
      <c r="E6" s="8"/>
      <c r="F6" s="8"/>
      <c r="G6" s="9" t="s">
        <v>6</v>
      </c>
    </row>
    <row r="7" spans="1:7" ht="15">
      <c r="A7" s="8"/>
      <c r="B7" s="8" t="s">
        <v>7</v>
      </c>
      <c r="C7" s="8"/>
      <c r="D7" s="8"/>
      <c r="E7" s="8"/>
      <c r="F7" s="8"/>
      <c r="G7" s="8" t="s">
        <v>8</v>
      </c>
    </row>
    <row r="8" spans="1:7" ht="15">
      <c r="A8" s="8"/>
      <c r="B8" s="8">
        <v>2015</v>
      </c>
      <c r="C8" s="8"/>
      <c r="D8" s="8"/>
      <c r="E8" s="8"/>
      <c r="F8" s="8"/>
      <c r="G8" s="8">
        <v>2020</v>
      </c>
    </row>
    <row r="9" spans="1:7" ht="15">
      <c r="A9" s="8"/>
      <c r="B9" s="8" t="s">
        <v>9</v>
      </c>
      <c r="C9" s="8"/>
      <c r="D9" s="8"/>
      <c r="E9" s="8"/>
      <c r="F9" s="8"/>
      <c r="G9" s="8" t="s">
        <v>10</v>
      </c>
    </row>
    <row r="10" spans="1:7" ht="15">
      <c r="A10" s="8"/>
      <c r="B10" s="10" t="s">
        <v>11</v>
      </c>
      <c r="C10" s="11"/>
      <c r="D10" s="11"/>
      <c r="E10" s="11"/>
      <c r="F10" s="11"/>
      <c r="G10" s="10" t="s">
        <v>12</v>
      </c>
    </row>
    <row r="11" spans="1:7" ht="15">
      <c r="A11" s="8"/>
      <c r="B11" s="8" t="s">
        <v>13</v>
      </c>
      <c r="C11" s="8"/>
      <c r="D11" s="8"/>
      <c r="E11" s="8"/>
      <c r="F11" s="8"/>
      <c r="G11" s="8" t="s">
        <v>14</v>
      </c>
    </row>
    <row r="12" spans="1:7" ht="15">
      <c r="A12" s="8"/>
      <c r="B12" s="8"/>
      <c r="C12" s="8"/>
      <c r="D12" s="8"/>
      <c r="E12" s="8"/>
      <c r="F12" s="8"/>
      <c r="G12" s="8"/>
    </row>
    <row r="13" spans="1:7" ht="15">
      <c r="A13" s="8"/>
      <c r="B13" s="9" t="s">
        <v>15</v>
      </c>
      <c r="C13" s="8"/>
      <c r="D13" s="8"/>
      <c r="E13" s="8"/>
      <c r="F13" s="8"/>
      <c r="G13" s="8"/>
    </row>
    <row r="14" spans="1:7" ht="15">
      <c r="A14" s="7"/>
      <c r="B14" s="8" t="s">
        <v>16</v>
      </c>
      <c r="C14" s="8"/>
      <c r="D14" s="8"/>
      <c r="E14" s="8"/>
      <c r="F14" s="8"/>
      <c r="G14" s="8"/>
    </row>
    <row r="15" spans="1:7" ht="15">
      <c r="A15" s="8"/>
      <c r="B15" s="8">
        <v>2018</v>
      </c>
      <c r="C15" s="8"/>
      <c r="D15" s="8"/>
      <c r="E15" s="8"/>
      <c r="F15" s="8"/>
      <c r="G15" s="8"/>
    </row>
    <row r="16" spans="1:7" ht="15">
      <c r="A16" s="8"/>
      <c r="B16" s="8" t="s">
        <v>17</v>
      </c>
      <c r="C16" s="8"/>
      <c r="D16" s="8"/>
      <c r="E16" s="8"/>
      <c r="F16" s="8"/>
      <c r="G16" s="8"/>
    </row>
    <row r="17" spans="1:7" ht="15">
      <c r="A17" s="8"/>
      <c r="B17" s="11" t="s">
        <v>18</v>
      </c>
      <c r="C17" s="8"/>
      <c r="D17" s="8"/>
      <c r="E17" s="8"/>
      <c r="F17" s="8"/>
      <c r="G17" s="8"/>
    </row>
    <row r="18" spans="1:7" ht="15">
      <c r="A18" s="8"/>
      <c r="B18" s="8" t="s">
        <v>19</v>
      </c>
      <c r="C18" s="8"/>
      <c r="D18" s="8"/>
      <c r="E18" s="8"/>
      <c r="F18" s="8"/>
      <c r="G18" s="8"/>
    </row>
    <row r="19" spans="1:7" ht="15">
      <c r="A19" s="8"/>
      <c r="B19" s="8"/>
      <c r="C19" s="8"/>
      <c r="D19" s="8"/>
      <c r="E19" s="8"/>
      <c r="F19" s="8"/>
      <c r="G19" s="8"/>
    </row>
    <row r="20" spans="1:7" ht="15">
      <c r="A20" s="8"/>
      <c r="B20" s="9" t="s">
        <v>20</v>
      </c>
      <c r="C20" s="8"/>
      <c r="D20" s="8"/>
      <c r="E20" s="8"/>
      <c r="F20" s="8"/>
      <c r="G20" s="8"/>
    </row>
    <row r="21" spans="1:7" ht="15">
      <c r="A21" s="7"/>
      <c r="B21" s="8" t="s">
        <v>21</v>
      </c>
      <c r="C21" s="8"/>
      <c r="D21" s="8"/>
      <c r="E21" s="8"/>
      <c r="F21" s="8"/>
      <c r="G21" s="8"/>
    </row>
    <row r="22" spans="1:7" ht="15">
      <c r="A22" s="8"/>
      <c r="B22" s="8">
        <v>2018</v>
      </c>
      <c r="C22" s="8"/>
      <c r="D22" s="8"/>
      <c r="E22" s="8"/>
      <c r="F22" s="8"/>
      <c r="G22" s="8"/>
    </row>
    <row r="23" spans="1:7" ht="15">
      <c r="A23" s="8"/>
      <c r="B23" s="8" t="s">
        <v>22</v>
      </c>
      <c r="C23" s="8"/>
      <c r="D23" s="8"/>
      <c r="E23" s="8"/>
      <c r="F23" s="8"/>
      <c r="G23" s="8"/>
    </row>
    <row r="24" spans="1:7" ht="15">
      <c r="A24" s="8"/>
      <c r="B24" s="10" t="s">
        <v>23</v>
      </c>
      <c r="C24" s="11"/>
      <c r="D24" s="11"/>
      <c r="E24" s="8"/>
      <c r="F24" s="8"/>
      <c r="G24" s="8"/>
    </row>
    <row r="25" spans="1:7" ht="15">
      <c r="A25" s="8"/>
      <c r="B25" s="8" t="s">
        <v>24</v>
      </c>
      <c r="C25" s="8"/>
      <c r="D25" s="8"/>
      <c r="E25" s="8"/>
      <c r="F25" s="8"/>
      <c r="G25" s="8"/>
    </row>
    <row r="26" spans="1:7" ht="15">
      <c r="A26" s="8"/>
      <c r="B26" s="8"/>
      <c r="C26" s="8"/>
      <c r="D26" s="8"/>
      <c r="E26" s="8"/>
      <c r="F26" s="8"/>
      <c r="G26" s="8"/>
    </row>
    <row r="27" spans="1:7" ht="15">
      <c r="A27" s="8"/>
      <c r="B27" s="8"/>
      <c r="C27" s="8"/>
      <c r="D27" s="8"/>
      <c r="E27" s="8"/>
      <c r="F27" s="8"/>
      <c r="G27" s="8"/>
    </row>
    <row r="28" spans="1:7" ht="15">
      <c r="A28" s="7" t="s">
        <v>25</v>
      </c>
      <c r="B28" s="8"/>
      <c r="C28" s="8"/>
      <c r="D28" s="8"/>
      <c r="E28" s="8"/>
      <c r="F28" s="8"/>
      <c r="G28" s="8"/>
    </row>
    <row r="29" spans="1:7" ht="15">
      <c r="A29" s="8" t="s">
        <v>26</v>
      </c>
      <c r="B29" s="8"/>
      <c r="C29" s="8"/>
      <c r="D29" s="8"/>
      <c r="E29" s="8"/>
      <c r="F29" s="8"/>
      <c r="G29" s="8"/>
    </row>
    <row r="30" spans="1:7" ht="15">
      <c r="A30" s="8" t="s">
        <v>27</v>
      </c>
      <c r="B30" s="8"/>
      <c r="C30" s="8"/>
      <c r="D30" s="8"/>
      <c r="E30" s="8"/>
      <c r="F30" s="8"/>
      <c r="G30" s="8"/>
    </row>
    <row r="31" spans="1:7" ht="15">
      <c r="A31" s="8"/>
      <c r="B31" s="8"/>
      <c r="C31" s="8"/>
      <c r="D31" s="8"/>
      <c r="E31" s="8"/>
      <c r="F31" s="8"/>
      <c r="G31" s="8"/>
    </row>
    <row r="32" spans="1:7" ht="15">
      <c r="A32" s="8" t="s">
        <v>28</v>
      </c>
      <c r="B32" s="8"/>
      <c r="C32" s="8"/>
      <c r="D32" s="8"/>
      <c r="E32" s="8"/>
      <c r="F32" s="8"/>
      <c r="G32" s="8"/>
    </row>
    <row r="33" spans="1:7" ht="15">
      <c r="A33" s="8" t="s">
        <v>29</v>
      </c>
      <c r="B33" s="8"/>
      <c r="C33" s="8"/>
      <c r="D33" s="8"/>
      <c r="E33" s="8"/>
      <c r="F33" s="8"/>
      <c r="G33" s="8"/>
    </row>
    <row r="34" spans="1:7" ht="15">
      <c r="A34" s="8" t="s">
        <v>30</v>
      </c>
      <c r="B34" s="8"/>
      <c r="C34" s="8"/>
      <c r="D34" s="8"/>
      <c r="E34" s="8"/>
      <c r="F34" s="8"/>
      <c r="G34" s="8"/>
    </row>
    <row r="35" spans="1:7" ht="15">
      <c r="A35" s="8"/>
      <c r="B35" s="8"/>
      <c r="C35" s="8"/>
      <c r="D35" s="8"/>
      <c r="E35" s="8"/>
      <c r="F35" s="8"/>
      <c r="G35" s="8"/>
    </row>
    <row r="36" spans="1:7" ht="15">
      <c r="A36" s="8" t="s">
        <v>31</v>
      </c>
      <c r="B36" s="8"/>
      <c r="C36" s="8"/>
      <c r="D36" s="8"/>
      <c r="E36" s="8"/>
      <c r="F36" s="8"/>
      <c r="G36" s="8"/>
    </row>
    <row r="37" spans="1:7" ht="15">
      <c r="A37" s="8" t="s">
        <v>32</v>
      </c>
      <c r="B37" s="8"/>
      <c r="C37" s="8"/>
      <c r="D37" s="8"/>
      <c r="E37" s="8"/>
      <c r="F37" s="8"/>
      <c r="G37" s="8"/>
    </row>
    <row r="38" spans="1:7" ht="15">
      <c r="A38" s="8"/>
      <c r="B38" s="8"/>
      <c r="C38" s="8"/>
      <c r="D38" s="8"/>
      <c r="E38" s="8"/>
      <c r="F38" s="8"/>
      <c r="G38" s="8"/>
    </row>
    <row r="39" spans="1:7">
      <c r="A39" t="s">
        <v>33</v>
      </c>
    </row>
    <row r="40" spans="1:7">
      <c r="A40" t="s">
        <v>34</v>
      </c>
    </row>
    <row r="42" spans="1:7">
      <c r="A42" t="s">
        <v>35</v>
      </c>
    </row>
  </sheetData>
  <hyperlinks>
    <hyperlink ref="B10" r:id="rId1" xr:uid="{E4FE3A07-2FDC-487A-BB1A-BA7E3029759D}"/>
    <hyperlink ref="G10" r:id="rId2" xr:uid="{DC87B0D3-D42D-44E0-B275-AF39A15FE6E1}"/>
    <hyperlink ref="B24" r:id="rId3" xr:uid="{FAB9672D-49FD-49FA-9A1F-D428EA166081}"/>
  </hyperlinks>
  <pageMargins left="0.7" right="0.7" top="0.75" bottom="0.75" header="0.3" footer="0.3"/>
  <pageSetup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7306-26B2-48C9-B520-0D897E6AE58B}">
  <dimension ref="A1:BB40"/>
  <sheetViews>
    <sheetView topLeftCell="AG14" workbookViewId="0">
      <selection activeCell="AI39" sqref="AI39:BB40"/>
    </sheetView>
  </sheetViews>
  <sheetFormatPr defaultRowHeight="14.45"/>
  <cols>
    <col min="1" max="1" width="29.85546875" customWidth="1"/>
    <col min="35" max="54" width="12.5703125" bestFit="1" customWidth="1"/>
  </cols>
  <sheetData>
    <row r="1" spans="1:33">
      <c r="A1" t="s">
        <v>36</v>
      </c>
    </row>
    <row r="2" spans="1:33">
      <c r="A2" t="s">
        <v>37</v>
      </c>
    </row>
    <row r="3" spans="1:33">
      <c r="A3" t="s">
        <v>38</v>
      </c>
    </row>
    <row r="5" spans="1:33" ht="45.75">
      <c r="A5" s="8"/>
      <c r="B5" s="13" t="s">
        <v>39</v>
      </c>
      <c r="C5" s="13" t="s">
        <v>40</v>
      </c>
      <c r="D5" s="8"/>
      <c r="E5" s="8"/>
      <c r="F5" s="8"/>
      <c r="G5" s="7" t="s">
        <v>41</v>
      </c>
      <c r="H5" s="7"/>
      <c r="I5" s="7" t="s">
        <v>42</v>
      </c>
      <c r="J5" s="7" t="s">
        <v>43</v>
      </c>
      <c r="K5" s="7" t="s">
        <v>44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ht="15">
      <c r="A6" s="7" t="s">
        <v>45</v>
      </c>
      <c r="B6" s="8">
        <v>2019</v>
      </c>
      <c r="C6" s="8">
        <v>2030</v>
      </c>
      <c r="D6" s="8"/>
      <c r="E6" s="8"/>
      <c r="F6" s="8"/>
      <c r="G6" s="14" t="s">
        <v>46</v>
      </c>
      <c r="H6" s="14"/>
      <c r="I6" s="8">
        <v>40</v>
      </c>
      <c r="J6" s="8">
        <v>77.5</v>
      </c>
      <c r="K6" s="8">
        <v>180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ht="15">
      <c r="A7" s="7" t="s">
        <v>47</v>
      </c>
      <c r="B7" s="8">
        <v>922</v>
      </c>
      <c r="C7" s="8">
        <v>77500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5">
      <c r="A8" s="8"/>
      <c r="B8" s="8"/>
      <c r="C8" s="8"/>
      <c r="D8" s="8"/>
      <c r="E8" s="8"/>
      <c r="F8" s="8"/>
      <c r="G8" s="14" t="s">
        <v>48</v>
      </c>
      <c r="H8" s="14"/>
      <c r="I8" s="14"/>
      <c r="J8" s="14"/>
      <c r="K8" s="14"/>
      <c r="L8" s="14"/>
      <c r="M8" s="14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ht="15">
      <c r="A9" s="8"/>
      <c r="B9" s="8"/>
      <c r="C9" s="8"/>
      <c r="D9" s="8"/>
      <c r="E9" s="8"/>
      <c r="F9" s="8"/>
      <c r="G9" s="14" t="s">
        <v>49</v>
      </c>
      <c r="H9" s="14"/>
      <c r="I9" s="14"/>
      <c r="J9" s="14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5">
      <c r="A10" s="8"/>
      <c r="B10" s="8"/>
      <c r="C10" s="8"/>
      <c r="D10" s="8"/>
      <c r="E10" s="8"/>
      <c r="F10" s="8"/>
      <c r="G10" s="14" t="s">
        <v>50</v>
      </c>
      <c r="H10" s="14"/>
      <c r="I10" s="14"/>
      <c r="J10" s="14"/>
      <c r="K10" s="14"/>
      <c r="L10" s="14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3" ht="15">
      <c r="A11" s="8"/>
      <c r="B11" s="8"/>
      <c r="C11" s="8"/>
      <c r="D11" s="8"/>
      <c r="E11" s="8"/>
      <c r="F11" s="8"/>
      <c r="G11" s="14" t="s">
        <v>51</v>
      </c>
      <c r="H11" s="14"/>
      <c r="I11" s="14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ht="15">
      <c r="A12" s="8"/>
      <c r="B12" s="8"/>
      <c r="C12" s="8"/>
      <c r="D12" s="8"/>
      <c r="E12" s="8"/>
      <c r="F12" s="8"/>
      <c r="G12" s="14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1:33" ht="15">
      <c r="A13" s="8" t="s">
        <v>52</v>
      </c>
      <c r="B13" s="8">
        <v>2019</v>
      </c>
      <c r="C13" s="8">
        <v>2020</v>
      </c>
      <c r="D13" s="8">
        <v>2021</v>
      </c>
      <c r="E13" s="8">
        <v>2022</v>
      </c>
      <c r="F13" s="8">
        <v>2023</v>
      </c>
      <c r="G13" s="8">
        <v>2024</v>
      </c>
      <c r="H13" s="8">
        <v>2025</v>
      </c>
      <c r="I13" s="8">
        <v>2026</v>
      </c>
      <c r="J13" s="8">
        <v>2027</v>
      </c>
      <c r="K13" s="8">
        <v>2028</v>
      </c>
      <c r="L13" s="8">
        <v>2029</v>
      </c>
      <c r="M13" s="8">
        <v>2030</v>
      </c>
      <c r="N13" s="8">
        <v>2031</v>
      </c>
      <c r="O13" s="8">
        <v>2032</v>
      </c>
      <c r="P13" s="8">
        <v>2033</v>
      </c>
      <c r="Q13" s="8">
        <v>2034</v>
      </c>
      <c r="R13" s="8">
        <v>2035</v>
      </c>
      <c r="S13" s="8">
        <v>2036</v>
      </c>
      <c r="T13" s="8">
        <v>2037</v>
      </c>
      <c r="U13" s="8">
        <v>2038</v>
      </c>
      <c r="V13" s="8">
        <v>2039</v>
      </c>
      <c r="W13" s="8">
        <v>2040</v>
      </c>
      <c r="X13" s="8">
        <v>2041</v>
      </c>
      <c r="Y13" s="8">
        <v>2042</v>
      </c>
      <c r="Z13" s="8">
        <v>2043</v>
      </c>
      <c r="AA13" s="8">
        <v>2044</v>
      </c>
      <c r="AB13" s="8">
        <v>2045</v>
      </c>
      <c r="AC13" s="8">
        <v>2046</v>
      </c>
      <c r="AD13" s="8">
        <v>2047</v>
      </c>
      <c r="AE13" s="8">
        <v>2048</v>
      </c>
      <c r="AF13" s="8">
        <v>2049</v>
      </c>
      <c r="AG13" s="8">
        <v>2050</v>
      </c>
    </row>
    <row r="14" spans="1:33" ht="15">
      <c r="A14" s="8" t="s">
        <v>53</v>
      </c>
      <c r="B14" s="8">
        <v>162417</v>
      </c>
      <c r="C14" s="8">
        <v>161230</v>
      </c>
      <c r="D14" s="8">
        <v>174773</v>
      </c>
      <c r="E14" s="8">
        <v>185487</v>
      </c>
      <c r="F14" s="8">
        <v>195731</v>
      </c>
      <c r="G14" s="8">
        <v>205399</v>
      </c>
      <c r="H14" s="8">
        <v>214078</v>
      </c>
      <c r="I14" s="8">
        <v>222460</v>
      </c>
      <c r="J14" s="8">
        <v>231463</v>
      </c>
      <c r="K14" s="8">
        <v>243188</v>
      </c>
      <c r="L14" s="8">
        <v>255060</v>
      </c>
      <c r="M14" s="8">
        <v>266853</v>
      </c>
      <c r="N14" s="8">
        <v>282041</v>
      </c>
      <c r="O14" s="8">
        <v>297497</v>
      </c>
      <c r="P14" s="8">
        <v>313255</v>
      </c>
      <c r="Q14" s="8">
        <v>328972</v>
      </c>
      <c r="R14" s="8">
        <v>344356</v>
      </c>
      <c r="S14" s="8">
        <v>359267</v>
      </c>
      <c r="T14" s="8">
        <v>373991</v>
      </c>
      <c r="U14" s="8">
        <v>389229</v>
      </c>
      <c r="V14" s="8">
        <v>404542</v>
      </c>
      <c r="W14" s="8">
        <v>419785</v>
      </c>
      <c r="X14" s="8">
        <v>434919</v>
      </c>
      <c r="Y14" s="8">
        <v>449155</v>
      </c>
      <c r="Z14" s="8">
        <v>461626</v>
      </c>
      <c r="AA14" s="8">
        <v>473803</v>
      </c>
      <c r="AB14" s="8">
        <v>485708</v>
      </c>
      <c r="AC14" s="8">
        <v>497094</v>
      </c>
      <c r="AD14" s="8">
        <v>508145</v>
      </c>
      <c r="AE14" s="8">
        <v>518988</v>
      </c>
      <c r="AF14" s="8">
        <v>529610</v>
      </c>
      <c r="AG14" s="8">
        <v>539807</v>
      </c>
    </row>
    <row r="15" spans="1:33" ht="15">
      <c r="A15" s="8" t="s">
        <v>54</v>
      </c>
      <c r="B15" s="8">
        <v>146544</v>
      </c>
      <c r="C15" s="8">
        <v>144093</v>
      </c>
      <c r="D15" s="8">
        <v>154638</v>
      </c>
      <c r="E15" s="8">
        <v>162791</v>
      </c>
      <c r="F15" s="8">
        <v>169782</v>
      </c>
      <c r="G15" s="8">
        <v>176290</v>
      </c>
      <c r="H15" s="8">
        <v>182072</v>
      </c>
      <c r="I15" s="8">
        <v>187784</v>
      </c>
      <c r="J15" s="8">
        <v>193901</v>
      </c>
      <c r="K15" s="8">
        <v>200803</v>
      </c>
      <c r="L15" s="8">
        <v>207926</v>
      </c>
      <c r="M15" s="8">
        <v>214997</v>
      </c>
      <c r="N15" s="8">
        <v>225052</v>
      </c>
      <c r="O15" s="8">
        <v>235281</v>
      </c>
      <c r="P15" s="8">
        <v>246160</v>
      </c>
      <c r="Q15" s="8">
        <v>256970</v>
      </c>
      <c r="R15" s="8">
        <v>267780</v>
      </c>
      <c r="S15" s="8">
        <v>278181</v>
      </c>
      <c r="T15" s="8">
        <v>288508</v>
      </c>
      <c r="U15" s="8">
        <v>299929</v>
      </c>
      <c r="V15" s="8">
        <v>311352</v>
      </c>
      <c r="W15" s="8">
        <v>322904</v>
      </c>
      <c r="X15" s="8">
        <v>334325</v>
      </c>
      <c r="Y15" s="8">
        <v>345221</v>
      </c>
      <c r="Z15" s="8">
        <v>354663</v>
      </c>
      <c r="AA15" s="8">
        <v>363924</v>
      </c>
      <c r="AB15" s="8">
        <v>373016</v>
      </c>
      <c r="AC15" s="8">
        <v>381915</v>
      </c>
      <c r="AD15" s="8">
        <v>390538</v>
      </c>
      <c r="AE15" s="8">
        <v>399059</v>
      </c>
      <c r="AF15" s="8">
        <v>407410</v>
      </c>
      <c r="AG15" s="8">
        <v>415558</v>
      </c>
    </row>
    <row r="16" spans="1:33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33" ht="14.45" customHeight="1">
      <c r="A17" s="8"/>
      <c r="B17" s="8"/>
      <c r="C17" s="8"/>
      <c r="D17" s="8"/>
      <c r="E17" s="8"/>
      <c r="F17" s="18"/>
      <c r="G17" s="18"/>
      <c r="H17" s="18"/>
      <c r="I17" s="18"/>
      <c r="J17" s="18"/>
      <c r="K17" s="18"/>
      <c r="L17" s="18"/>
      <c r="M17" s="1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1:33" ht="14.45" customHeight="1">
      <c r="A18" s="8"/>
      <c r="B18" s="8"/>
      <c r="C18" s="8"/>
      <c r="D18" s="8"/>
      <c r="E18" s="8"/>
      <c r="F18" s="18"/>
      <c r="G18" s="18"/>
      <c r="H18" s="18"/>
      <c r="I18" s="18"/>
      <c r="J18" s="18"/>
      <c r="K18" s="18"/>
      <c r="L18" s="18"/>
      <c r="M18" s="1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ht="14.45" customHeight="1">
      <c r="A19" s="8"/>
      <c r="B19" s="8"/>
      <c r="C19" s="8"/>
      <c r="D19" s="8"/>
      <c r="E19" s="8"/>
      <c r="F19" s="18"/>
      <c r="G19" s="18"/>
      <c r="H19" s="18"/>
      <c r="I19" s="18"/>
      <c r="J19" s="18"/>
      <c r="K19" s="18"/>
      <c r="L19" s="18"/>
      <c r="M19" s="1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1:33" ht="14.45" customHeight="1">
      <c r="A20" s="8"/>
      <c r="B20" s="8"/>
      <c r="C20" s="8"/>
      <c r="D20" s="8"/>
      <c r="E20" s="8"/>
      <c r="F20" s="18"/>
      <c r="G20" s="18"/>
      <c r="H20" s="18"/>
      <c r="I20" s="18"/>
      <c r="J20" s="18"/>
      <c r="K20" s="18"/>
      <c r="L20" s="18"/>
      <c r="M20" s="1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1:33" ht="14.45" customHeight="1">
      <c r="A21" s="8"/>
      <c r="B21" s="8"/>
      <c r="C21" s="8"/>
      <c r="D21" s="8"/>
      <c r="E21" s="8"/>
      <c r="F21" s="18"/>
      <c r="G21" s="18"/>
      <c r="H21" s="18"/>
      <c r="I21" s="18"/>
      <c r="J21" s="18"/>
      <c r="K21" s="18"/>
      <c r="L21" s="18"/>
      <c r="M21" s="1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33" ht="14.45" customHeight="1">
      <c r="A22" s="8"/>
      <c r="B22" s="8"/>
      <c r="C22" s="8"/>
      <c r="D22" s="8"/>
      <c r="E22" s="8"/>
      <c r="F22" s="18"/>
      <c r="G22" s="18"/>
      <c r="H22" s="18"/>
      <c r="I22" s="18"/>
      <c r="J22" s="18"/>
      <c r="K22" s="18"/>
      <c r="L22" s="18"/>
      <c r="M22" s="1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33" ht="14.45" customHeight="1">
      <c r="A23" s="8"/>
      <c r="B23" s="8"/>
      <c r="C23" s="8"/>
      <c r="D23" s="8"/>
      <c r="E23" s="8"/>
      <c r="F23" s="18"/>
      <c r="G23" s="18"/>
      <c r="H23" s="18"/>
      <c r="I23" s="18"/>
      <c r="J23" s="18"/>
      <c r="K23" s="18"/>
      <c r="L23" s="18"/>
      <c r="M23" s="1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ht="14.45" customHeight="1">
      <c r="A24" s="8"/>
      <c r="B24" s="8"/>
      <c r="C24" s="8"/>
      <c r="D24" s="8"/>
      <c r="E24" s="8"/>
      <c r="F24" s="18"/>
      <c r="G24" s="18"/>
      <c r="H24" s="18"/>
      <c r="I24" s="18"/>
      <c r="J24" s="18"/>
      <c r="K24" s="18"/>
      <c r="L24" s="18"/>
      <c r="M24" s="1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33" ht="14.45" customHeight="1">
      <c r="A25" s="8"/>
      <c r="B25" s="8"/>
      <c r="C25" s="8"/>
      <c r="D25" s="8"/>
      <c r="E25" s="8"/>
      <c r="F25" s="18"/>
      <c r="G25" s="18"/>
      <c r="H25" s="18"/>
      <c r="I25" s="18"/>
      <c r="J25" s="18"/>
      <c r="K25" s="18"/>
      <c r="L25" s="18"/>
      <c r="M25" s="1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33" ht="14.45" customHeight="1">
      <c r="A26" s="8"/>
      <c r="B26" s="8"/>
      <c r="C26" s="8"/>
      <c r="D26" s="8"/>
      <c r="E26" s="8"/>
      <c r="F26" s="18"/>
      <c r="G26" s="18"/>
      <c r="H26" s="18"/>
      <c r="I26" s="18"/>
      <c r="J26" s="18"/>
      <c r="K26" s="18"/>
      <c r="L26" s="18"/>
      <c r="M26" s="1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1:33" ht="14.45" customHeight="1">
      <c r="A27" s="8"/>
      <c r="B27" s="8"/>
      <c r="C27" s="8"/>
      <c r="D27" s="8"/>
      <c r="E27" s="8"/>
      <c r="F27" s="18"/>
      <c r="G27" s="18"/>
      <c r="H27" s="18"/>
      <c r="I27" s="18"/>
      <c r="J27" s="18"/>
      <c r="K27" s="18"/>
      <c r="L27" s="18"/>
      <c r="M27" s="1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1:33" ht="14.45" customHeight="1">
      <c r="A28" s="8"/>
      <c r="B28" s="8"/>
      <c r="C28" s="8"/>
      <c r="D28" s="8"/>
      <c r="E28" s="8"/>
      <c r="F28" s="18"/>
      <c r="G28" s="18"/>
      <c r="H28" s="18"/>
      <c r="I28" s="18"/>
      <c r="J28" s="18"/>
      <c r="K28" s="18"/>
      <c r="L28" s="18"/>
      <c r="M28" s="1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1:33" ht="14.45" customHeight="1">
      <c r="A29" s="8"/>
      <c r="B29" s="8"/>
      <c r="C29" s="8"/>
      <c r="D29" s="8"/>
      <c r="E29" s="8"/>
      <c r="F29" s="18"/>
      <c r="G29" s="18"/>
      <c r="H29" s="18"/>
      <c r="I29" s="18"/>
      <c r="J29" s="18"/>
      <c r="K29" s="18"/>
      <c r="L29" s="18"/>
      <c r="M29" s="1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1:33" ht="14.45" customHeight="1">
      <c r="A30" s="8"/>
      <c r="B30" s="8"/>
      <c r="C30" s="8"/>
      <c r="D30" s="8"/>
      <c r="E30" s="8"/>
      <c r="F30" s="18"/>
      <c r="G30" s="18"/>
      <c r="H30" s="18"/>
      <c r="I30" s="18"/>
      <c r="J30" s="18"/>
      <c r="K30" s="18"/>
      <c r="L30" s="18"/>
      <c r="M30" s="1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1:33" ht="14.45" customHeight="1">
      <c r="A31" s="8"/>
      <c r="B31" s="8"/>
      <c r="C31" s="8"/>
      <c r="D31" s="8"/>
      <c r="E31" s="8"/>
      <c r="F31" s="18"/>
      <c r="G31" s="18"/>
      <c r="H31" s="18"/>
      <c r="I31" s="18"/>
      <c r="J31" s="18"/>
      <c r="K31" s="18"/>
      <c r="L31" s="18"/>
      <c r="M31" s="1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1:33" ht="14.45" customHeight="1">
      <c r="A32" s="8"/>
      <c r="B32" s="8"/>
      <c r="C32" s="8"/>
      <c r="D32" s="8"/>
      <c r="E32" s="8"/>
      <c r="F32" s="18"/>
      <c r="G32" s="18"/>
      <c r="H32" s="18"/>
      <c r="I32" s="18"/>
      <c r="J32" s="18"/>
      <c r="K32" s="18"/>
      <c r="L32" s="18"/>
      <c r="M32" s="1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1:54" ht="15">
      <c r="A33" s="8"/>
      <c r="B33" s="8"/>
      <c r="C33" s="8"/>
      <c r="D33" s="8"/>
      <c r="E33" s="8"/>
      <c r="F33" s="8"/>
      <c r="G33" s="14" t="s">
        <v>55</v>
      </c>
      <c r="H33" s="14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5" spans="1:54" ht="15">
      <c r="A35" s="1" t="s">
        <v>56</v>
      </c>
    </row>
    <row r="36" spans="1:54" ht="15">
      <c r="A36" t="s">
        <v>45</v>
      </c>
      <c r="B36">
        <v>2018</v>
      </c>
      <c r="C36">
        <v>2019</v>
      </c>
      <c r="D36">
        <v>2020</v>
      </c>
      <c r="E36">
        <v>2021</v>
      </c>
      <c r="F36">
        <v>2022</v>
      </c>
      <c r="G36">
        <v>2023</v>
      </c>
      <c r="H36">
        <v>2024</v>
      </c>
      <c r="I36">
        <v>2025</v>
      </c>
      <c r="J36">
        <v>2026</v>
      </c>
      <c r="K36">
        <v>2027</v>
      </c>
      <c r="L36">
        <v>2028</v>
      </c>
      <c r="M36">
        <v>2029</v>
      </c>
      <c r="N36">
        <v>2030</v>
      </c>
      <c r="O36">
        <v>2031</v>
      </c>
      <c r="P36">
        <v>2032</v>
      </c>
      <c r="Q36">
        <v>2033</v>
      </c>
      <c r="R36">
        <v>2034</v>
      </c>
      <c r="S36">
        <v>2035</v>
      </c>
      <c r="T36">
        <v>2036</v>
      </c>
      <c r="U36">
        <v>2037</v>
      </c>
      <c r="V36">
        <v>2038</v>
      </c>
      <c r="W36">
        <v>2039</v>
      </c>
      <c r="X36">
        <v>2040</v>
      </c>
      <c r="Y36">
        <v>2041</v>
      </c>
      <c r="Z36">
        <v>2042</v>
      </c>
      <c r="AA36">
        <v>2043</v>
      </c>
      <c r="AB36">
        <v>2044</v>
      </c>
      <c r="AC36">
        <v>2045</v>
      </c>
      <c r="AD36">
        <v>2046</v>
      </c>
      <c r="AE36">
        <v>2047</v>
      </c>
      <c r="AF36">
        <v>2048</v>
      </c>
      <c r="AG36">
        <v>2049</v>
      </c>
      <c r="AH36">
        <v>2050</v>
      </c>
      <c r="AI36">
        <v>2051</v>
      </c>
      <c r="AJ36">
        <v>2052</v>
      </c>
      <c r="AK36">
        <v>2053</v>
      </c>
      <c r="AL36">
        <v>2054</v>
      </c>
      <c r="AM36">
        <v>2055</v>
      </c>
      <c r="AN36">
        <v>2056</v>
      </c>
      <c r="AO36">
        <v>2057</v>
      </c>
      <c r="AP36">
        <v>2058</v>
      </c>
      <c r="AQ36">
        <v>2059</v>
      </c>
      <c r="AR36">
        <v>2060</v>
      </c>
      <c r="AS36">
        <v>2061</v>
      </c>
      <c r="AT36">
        <v>2062</v>
      </c>
      <c r="AU36">
        <v>2063</v>
      </c>
      <c r="AV36">
        <v>2064</v>
      </c>
      <c r="AW36">
        <v>2065</v>
      </c>
      <c r="AX36">
        <v>2066</v>
      </c>
      <c r="AY36">
        <v>2067</v>
      </c>
      <c r="AZ36">
        <v>2068</v>
      </c>
      <c r="BA36">
        <v>2069</v>
      </c>
      <c r="BB36">
        <v>2070</v>
      </c>
    </row>
    <row r="37" spans="1:54" ht="15">
      <c r="A37" t="s">
        <v>47</v>
      </c>
      <c r="B37">
        <v>677</v>
      </c>
      <c r="C37">
        <v>922</v>
      </c>
      <c r="D37">
        <v>915</v>
      </c>
      <c r="E37">
        <v>992</v>
      </c>
      <c r="F37">
        <v>1053</v>
      </c>
      <c r="G37">
        <v>1111</v>
      </c>
      <c r="H37">
        <v>1166</v>
      </c>
      <c r="I37">
        <v>1216</v>
      </c>
      <c r="J37">
        <v>1263</v>
      </c>
      <c r="K37">
        <v>1314</v>
      </c>
      <c r="L37">
        <v>1381</v>
      </c>
      <c r="M37">
        <v>1448</v>
      </c>
      <c r="N37">
        <v>1515</v>
      </c>
      <c r="O37">
        <v>1601</v>
      </c>
      <c r="P37">
        <v>1689</v>
      </c>
      <c r="Q37">
        <v>1779</v>
      </c>
      <c r="R37">
        <v>1868</v>
      </c>
      <c r="S37">
        <v>1955</v>
      </c>
      <c r="T37">
        <v>2040</v>
      </c>
      <c r="U37">
        <v>2123</v>
      </c>
      <c r="V37">
        <v>2210</v>
      </c>
      <c r="W37">
        <v>2297</v>
      </c>
      <c r="X37">
        <v>2383</v>
      </c>
      <c r="Y37">
        <v>2469</v>
      </c>
      <c r="Z37">
        <v>2550</v>
      </c>
      <c r="AA37">
        <v>2621</v>
      </c>
      <c r="AB37">
        <v>2690</v>
      </c>
      <c r="AC37">
        <v>2758</v>
      </c>
      <c r="AD37">
        <v>2822</v>
      </c>
      <c r="AE37">
        <v>2885</v>
      </c>
      <c r="AF37">
        <v>2947</v>
      </c>
      <c r="AG37">
        <v>3007</v>
      </c>
      <c r="AH37">
        <v>3065</v>
      </c>
      <c r="AI37" s="3">
        <f>_xlfn.FORECAST.LINEAR(AI36,B37:AH37,B36:AH36)</f>
        <v>3171.6060606060491</v>
      </c>
      <c r="AJ37" s="3">
        <f t="shared" ref="AJ37:BB37" si="0">_xlfn.FORECAST.LINEAR(AJ36,C37:AI37,C36:AI36)</f>
        <v>3244.4882346189115</v>
      </c>
      <c r="AK37" s="3">
        <f t="shared" si="0"/>
        <v>3328.2712437738082</v>
      </c>
      <c r="AL37" s="3">
        <f t="shared" si="0"/>
        <v>3408.5497981598892</v>
      </c>
      <c r="AM37" s="3">
        <f t="shared" si="0"/>
        <v>3489.9514846470847</v>
      </c>
      <c r="AN37" s="3">
        <f t="shared" si="0"/>
        <v>3571.5332062492671</v>
      </c>
      <c r="AO37" s="3">
        <f t="shared" si="0"/>
        <v>3653.0020030949381</v>
      </c>
      <c r="AP37" s="3">
        <f t="shared" si="0"/>
        <v>3734.0113366440346</v>
      </c>
      <c r="AQ37" s="3">
        <f t="shared" si="0"/>
        <v>3814.0236840905563</v>
      </c>
      <c r="AR37" s="3">
        <f t="shared" si="0"/>
        <v>3892.5431456027145</v>
      </c>
      <c r="AS37" s="3">
        <f t="shared" si="0"/>
        <v>3969.4663466688362</v>
      </c>
      <c r="AT37" s="3">
        <f t="shared" si="0"/>
        <v>4045.5040466581122</v>
      </c>
      <c r="AU37" s="3">
        <f t="shared" si="0"/>
        <v>4120.4925302824704</v>
      </c>
      <c r="AV37" s="3">
        <f t="shared" si="0"/>
        <v>4194.2532692325476</v>
      </c>
      <c r="AW37" s="3">
        <f t="shared" si="0"/>
        <v>4267.8515265575261</v>
      </c>
      <c r="AX37" s="3">
        <f t="shared" si="0"/>
        <v>4341.4697245285206</v>
      </c>
      <c r="AY37" s="3">
        <f t="shared" si="0"/>
        <v>4415.3246840345382</v>
      </c>
      <c r="AZ37" s="3">
        <f t="shared" si="0"/>
        <v>4489.4718939852028</v>
      </c>
      <c r="BA37" s="3">
        <f t="shared" si="0"/>
        <v>4563.900254285807</v>
      </c>
      <c r="BB37" s="3">
        <f t="shared" si="0"/>
        <v>4638.5842952251842</v>
      </c>
    </row>
    <row r="38" spans="1:54" ht="15"/>
    <row r="39" spans="1:54">
      <c r="A39" t="s">
        <v>45</v>
      </c>
      <c r="B39">
        <v>2018</v>
      </c>
      <c r="C39">
        <v>2019</v>
      </c>
      <c r="D39">
        <v>2020</v>
      </c>
      <c r="E39">
        <v>2021</v>
      </c>
      <c r="F39">
        <v>2022</v>
      </c>
      <c r="G39">
        <v>2023</v>
      </c>
      <c r="H39">
        <v>2024</v>
      </c>
      <c r="I39">
        <v>2025</v>
      </c>
      <c r="J39">
        <v>2026</v>
      </c>
      <c r="K39">
        <v>2027</v>
      </c>
      <c r="L39">
        <v>2028</v>
      </c>
      <c r="M39">
        <v>2029</v>
      </c>
      <c r="N39">
        <v>2030</v>
      </c>
      <c r="O39">
        <v>2031</v>
      </c>
      <c r="P39">
        <v>2032</v>
      </c>
      <c r="Q39">
        <v>2033</v>
      </c>
      <c r="R39">
        <v>2034</v>
      </c>
      <c r="S39">
        <v>2035</v>
      </c>
      <c r="T39">
        <v>2036</v>
      </c>
      <c r="U39">
        <v>2037</v>
      </c>
      <c r="V39">
        <v>2038</v>
      </c>
      <c r="W39">
        <v>2039</v>
      </c>
      <c r="X39">
        <v>2040</v>
      </c>
      <c r="Y39">
        <v>2041</v>
      </c>
      <c r="Z39">
        <v>2042</v>
      </c>
      <c r="AA39">
        <v>2043</v>
      </c>
      <c r="AB39">
        <v>2044</v>
      </c>
      <c r="AC39">
        <v>2045</v>
      </c>
      <c r="AD39">
        <v>2046</v>
      </c>
      <c r="AE39">
        <v>2047</v>
      </c>
      <c r="AF39">
        <v>2048</v>
      </c>
      <c r="AG39">
        <v>2049</v>
      </c>
      <c r="AH39">
        <v>2050</v>
      </c>
      <c r="AI39">
        <v>2051</v>
      </c>
      <c r="AJ39">
        <v>2052</v>
      </c>
      <c r="AK39">
        <v>2053</v>
      </c>
      <c r="AL39">
        <v>2054</v>
      </c>
      <c r="AM39">
        <v>2055</v>
      </c>
      <c r="AN39">
        <v>2056</v>
      </c>
      <c r="AO39">
        <v>2057</v>
      </c>
      <c r="AP39">
        <v>2058</v>
      </c>
      <c r="AQ39">
        <v>2059</v>
      </c>
      <c r="AR39">
        <v>2060</v>
      </c>
      <c r="AS39">
        <v>2061</v>
      </c>
      <c r="AT39">
        <v>2062</v>
      </c>
      <c r="AU39">
        <v>2063</v>
      </c>
      <c r="AV39">
        <v>2064</v>
      </c>
      <c r="AW39">
        <v>2065</v>
      </c>
      <c r="AX39">
        <v>2066</v>
      </c>
      <c r="AY39">
        <v>2067</v>
      </c>
      <c r="AZ39">
        <v>2068</v>
      </c>
      <c r="BA39">
        <v>2069</v>
      </c>
      <c r="BB39">
        <v>2070</v>
      </c>
    </row>
    <row r="40" spans="1:54">
      <c r="A40" t="s">
        <v>57</v>
      </c>
      <c r="B40">
        <v>0</v>
      </c>
      <c r="C40">
        <v>0</v>
      </c>
      <c r="D40">
        <v>6968</v>
      </c>
      <c r="E40">
        <v>13853</v>
      </c>
      <c r="F40">
        <v>20754</v>
      </c>
      <c r="G40">
        <v>27657</v>
      </c>
      <c r="H40">
        <v>34564</v>
      </c>
      <c r="I40">
        <v>41476</v>
      </c>
      <c r="J40">
        <v>48390</v>
      </c>
      <c r="K40">
        <v>55301</v>
      </c>
      <c r="L40">
        <v>62196</v>
      </c>
      <c r="M40">
        <v>69090</v>
      </c>
      <c r="N40">
        <v>75985</v>
      </c>
      <c r="O40">
        <v>82860</v>
      </c>
      <c r="P40">
        <v>89734</v>
      </c>
      <c r="Q40">
        <v>96606</v>
      </c>
      <c r="R40">
        <v>103479</v>
      </c>
      <c r="S40">
        <v>110353</v>
      </c>
      <c r="T40">
        <v>117230</v>
      </c>
      <c r="U40">
        <v>124108</v>
      </c>
      <c r="V40">
        <v>130983</v>
      </c>
      <c r="W40">
        <v>137858</v>
      </c>
      <c r="X40">
        <v>144733</v>
      </c>
      <c r="Y40">
        <v>151608</v>
      </c>
      <c r="Z40">
        <v>158489</v>
      </c>
      <c r="AA40">
        <v>165380</v>
      </c>
      <c r="AB40">
        <v>172272</v>
      </c>
      <c r="AC40">
        <v>179166</v>
      </c>
      <c r="AD40">
        <v>186063</v>
      </c>
      <c r="AE40">
        <v>192962</v>
      </c>
      <c r="AF40">
        <v>199862</v>
      </c>
      <c r="AG40">
        <v>206764</v>
      </c>
      <c r="AH40">
        <v>213667</v>
      </c>
      <c r="AI40" s="3">
        <f>_xlfn.FORECAST.LINEAR(AI39,B40:AH40,B39:AH39)</f>
        <v>220115.1022727266</v>
      </c>
      <c r="AJ40" s="3">
        <f t="shared" ref="AJ40:BB40" si="1">_xlfn.FORECAST.LINEAR(AJ39,C40:AI40,C39:AI39)</f>
        <v>227361.56732093729</v>
      </c>
      <c r="AK40" s="3">
        <f t="shared" si="1"/>
        <v>234235.73777874373</v>
      </c>
      <c r="AL40" s="3">
        <f t="shared" si="1"/>
        <v>241113.20787165873</v>
      </c>
      <c r="AM40" s="3">
        <f t="shared" si="1"/>
        <v>247989.40878390893</v>
      </c>
      <c r="AN40" s="3">
        <f t="shared" si="1"/>
        <v>254865.29006504081</v>
      </c>
      <c r="AO40" s="3">
        <f t="shared" si="1"/>
        <v>261741.08645155281</v>
      </c>
      <c r="AP40" s="3">
        <f t="shared" si="1"/>
        <v>268617.20688833296</v>
      </c>
      <c r="AQ40" s="3">
        <f t="shared" si="1"/>
        <v>275494.19938685745</v>
      </c>
      <c r="AR40" s="3">
        <f t="shared" si="1"/>
        <v>282372.50608848594</v>
      </c>
      <c r="AS40" s="3">
        <f t="shared" si="1"/>
        <v>289252.29769682698</v>
      </c>
      <c r="AT40" s="3">
        <f t="shared" si="1"/>
        <v>296132.87935188785</v>
      </c>
      <c r="AU40" s="3">
        <f t="shared" si="1"/>
        <v>303014.36694034375</v>
      </c>
      <c r="AV40" s="3">
        <f t="shared" si="1"/>
        <v>309897.01280078292</v>
      </c>
      <c r="AW40" s="3">
        <f t="shared" si="1"/>
        <v>316779.70834729634</v>
      </c>
      <c r="AX40" s="3">
        <f t="shared" si="1"/>
        <v>323662.34987216629</v>
      </c>
      <c r="AY40" s="3">
        <f t="shared" si="1"/>
        <v>330544.74884505011</v>
      </c>
      <c r="AZ40" s="3">
        <f t="shared" si="1"/>
        <v>337426.88169037178</v>
      </c>
      <c r="BA40" s="3">
        <f t="shared" si="1"/>
        <v>344308.72903487273</v>
      </c>
      <c r="BB40" s="3">
        <f t="shared" si="1"/>
        <v>351190.40892667882</v>
      </c>
    </row>
  </sheetData>
  <mergeCells count="1">
    <mergeCell ref="F17:M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7442-F6E0-4875-A707-07A3F1AC1430}">
  <dimension ref="A2:B2"/>
  <sheetViews>
    <sheetView workbookViewId="0">
      <selection activeCell="A2" sqref="A2"/>
    </sheetView>
  </sheetViews>
  <sheetFormatPr defaultRowHeight="15"/>
  <cols>
    <col min="1" max="1" width="58" customWidth="1"/>
  </cols>
  <sheetData>
    <row r="2" spans="1:2">
      <c r="A2" t="s">
        <v>58</v>
      </c>
      <c r="B2" s="2" t="s">
        <v>59</v>
      </c>
    </row>
  </sheetData>
  <hyperlinks>
    <hyperlink ref="B2" r:id="rId1" xr:uid="{797F44F9-E6BA-44AB-B75C-E23F329EF24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B6"/>
  <sheetViews>
    <sheetView tabSelected="1" topLeftCell="B1" workbookViewId="0">
      <selection activeCell="AJ8" sqref="AJ8"/>
    </sheetView>
  </sheetViews>
  <sheetFormatPr defaultRowHeight="14.45"/>
  <cols>
    <col min="1" max="1" width="19.28515625" customWidth="1"/>
  </cols>
  <sheetData>
    <row r="1" spans="1:54">
      <c r="A1" s="1" t="s">
        <v>45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 s="16">
        <v>2051</v>
      </c>
      <c r="AJ1" s="16">
        <v>2052</v>
      </c>
      <c r="AK1" s="16">
        <v>2053</v>
      </c>
      <c r="AL1" s="16">
        <v>2054</v>
      </c>
      <c r="AM1" s="16">
        <v>2055</v>
      </c>
      <c r="AN1" s="16">
        <v>2056</v>
      </c>
      <c r="AO1" s="16">
        <v>2057</v>
      </c>
      <c r="AP1" s="16">
        <v>2058</v>
      </c>
      <c r="AQ1" s="16">
        <v>2059</v>
      </c>
      <c r="AR1" s="16">
        <v>2060</v>
      </c>
      <c r="AS1" s="16">
        <v>2061</v>
      </c>
      <c r="AT1" s="16">
        <v>2062</v>
      </c>
      <c r="AU1" s="16">
        <v>2063</v>
      </c>
      <c r="AV1" s="16">
        <v>2064</v>
      </c>
      <c r="AW1" s="16">
        <v>2065</v>
      </c>
      <c r="AX1" s="16">
        <v>2066</v>
      </c>
      <c r="AY1" s="16">
        <v>2067</v>
      </c>
      <c r="AZ1" s="16">
        <v>2068</v>
      </c>
      <c r="BA1" s="16">
        <v>2069</v>
      </c>
      <c r="BB1" s="16">
        <v>2070</v>
      </c>
    </row>
    <row r="2" spans="1:54">
      <c r="A2" s="1" t="s">
        <v>47</v>
      </c>
      <c r="B2">
        <v>677</v>
      </c>
      <c r="C2">
        <v>922</v>
      </c>
      <c r="D2">
        <v>915</v>
      </c>
      <c r="E2">
        <v>992</v>
      </c>
      <c r="F2">
        <v>1053</v>
      </c>
      <c r="G2">
        <v>1111</v>
      </c>
      <c r="H2">
        <v>1166</v>
      </c>
      <c r="I2">
        <v>1216</v>
      </c>
      <c r="J2">
        <v>1263</v>
      </c>
      <c r="K2">
        <v>1314</v>
      </c>
      <c r="L2">
        <v>1381</v>
      </c>
      <c r="M2">
        <v>1448</v>
      </c>
      <c r="N2">
        <v>1515</v>
      </c>
      <c r="O2">
        <v>1601</v>
      </c>
      <c r="P2">
        <v>1689</v>
      </c>
      <c r="Q2">
        <v>1779</v>
      </c>
      <c r="R2">
        <v>1868</v>
      </c>
      <c r="S2">
        <v>1955</v>
      </c>
      <c r="T2">
        <v>2040</v>
      </c>
      <c r="U2">
        <v>2123</v>
      </c>
      <c r="V2">
        <v>2210</v>
      </c>
      <c r="W2">
        <v>2297</v>
      </c>
      <c r="X2">
        <v>2383</v>
      </c>
      <c r="Y2">
        <v>2469</v>
      </c>
      <c r="Z2">
        <v>2550</v>
      </c>
      <c r="AA2">
        <v>2621</v>
      </c>
      <c r="AB2">
        <v>2690</v>
      </c>
      <c r="AC2">
        <v>2758</v>
      </c>
      <c r="AD2">
        <v>2822</v>
      </c>
      <c r="AE2">
        <v>2885</v>
      </c>
      <c r="AF2">
        <v>2947</v>
      </c>
      <c r="AG2">
        <v>3007</v>
      </c>
      <c r="AH2">
        <v>3065</v>
      </c>
      <c r="AI2" s="17">
        <v>3171.6060606060491</v>
      </c>
      <c r="AJ2" s="17">
        <v>3244.4882346189115</v>
      </c>
      <c r="AK2" s="17">
        <v>3328.2712437738082</v>
      </c>
      <c r="AL2" s="17">
        <v>3408.5497981598892</v>
      </c>
      <c r="AM2" s="17">
        <v>3489.9514846470847</v>
      </c>
      <c r="AN2" s="17">
        <v>3571.5332062492671</v>
      </c>
      <c r="AO2" s="17">
        <v>3653.0020030949381</v>
      </c>
      <c r="AP2" s="17">
        <v>3734.0113366440346</v>
      </c>
      <c r="AQ2" s="17">
        <v>3814.0236840905563</v>
      </c>
      <c r="AR2" s="17">
        <v>3892.5431456027145</v>
      </c>
      <c r="AS2" s="17">
        <v>3969.4663466688362</v>
      </c>
      <c r="AT2" s="17">
        <v>4045.5040466581122</v>
      </c>
      <c r="AU2" s="17">
        <v>4120.4925302824704</v>
      </c>
      <c r="AV2" s="17">
        <v>4194.2532692325476</v>
      </c>
      <c r="AW2" s="17">
        <v>4267.8515265575261</v>
      </c>
      <c r="AX2" s="17">
        <v>4341.4697245285206</v>
      </c>
      <c r="AY2" s="17">
        <v>4415.3246840345382</v>
      </c>
      <c r="AZ2" s="17">
        <v>4489.4718939852028</v>
      </c>
      <c r="BA2" s="17">
        <v>4563.900254285807</v>
      </c>
      <c r="BB2" s="17">
        <v>4638.5842952251842</v>
      </c>
    </row>
    <row r="3" spans="1:54" ht="15"/>
    <row r="4" spans="1:54" ht="15"/>
    <row r="5" spans="1:54" ht="15"/>
    <row r="6" spans="1:54" ht="1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B6"/>
  <sheetViews>
    <sheetView workbookViewId="0">
      <selection activeCell="AK5" sqref="AK5"/>
    </sheetView>
  </sheetViews>
  <sheetFormatPr defaultRowHeight="14.45"/>
  <cols>
    <col min="1" max="1" width="21" customWidth="1"/>
  </cols>
  <sheetData>
    <row r="1" spans="1:54">
      <c r="A1" s="1" t="s">
        <v>45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  <c r="AS1">
        <v>2061</v>
      </c>
      <c r="AT1">
        <v>2062</v>
      </c>
      <c r="AU1">
        <v>2063</v>
      </c>
      <c r="AV1">
        <v>2064</v>
      </c>
      <c r="AW1">
        <v>2065</v>
      </c>
      <c r="AX1">
        <v>2066</v>
      </c>
      <c r="AY1">
        <v>2067</v>
      </c>
      <c r="AZ1">
        <v>2068</v>
      </c>
      <c r="BA1">
        <v>2069</v>
      </c>
      <c r="BB1">
        <v>2070</v>
      </c>
    </row>
    <row r="2" spans="1:54" ht="29.1">
      <c r="A2" s="4" t="s">
        <v>57</v>
      </c>
      <c r="B2" s="3">
        <v>0</v>
      </c>
      <c r="C2" s="3">
        <v>0</v>
      </c>
      <c r="D2" s="3">
        <v>6968</v>
      </c>
      <c r="E2" s="3">
        <v>13853</v>
      </c>
      <c r="F2" s="3">
        <v>20754</v>
      </c>
      <c r="G2" s="3">
        <v>27657</v>
      </c>
      <c r="H2" s="3">
        <v>34564</v>
      </c>
      <c r="I2" s="3">
        <v>41476</v>
      </c>
      <c r="J2" s="3">
        <v>48390</v>
      </c>
      <c r="K2" s="3">
        <v>55301</v>
      </c>
      <c r="L2" s="3">
        <v>62196</v>
      </c>
      <c r="M2" s="3">
        <v>69090</v>
      </c>
      <c r="N2" s="3">
        <v>75985</v>
      </c>
      <c r="O2" s="3">
        <v>82860</v>
      </c>
      <c r="P2" s="3">
        <v>89734</v>
      </c>
      <c r="Q2" s="3">
        <v>96606</v>
      </c>
      <c r="R2" s="3">
        <v>103479</v>
      </c>
      <c r="S2" s="3">
        <v>110353</v>
      </c>
      <c r="T2" s="3">
        <v>117230</v>
      </c>
      <c r="U2" s="3">
        <v>124108</v>
      </c>
      <c r="V2" s="3">
        <v>130983</v>
      </c>
      <c r="W2" s="3">
        <v>137858</v>
      </c>
      <c r="X2" s="3">
        <v>144733</v>
      </c>
      <c r="Y2" s="3">
        <v>151608</v>
      </c>
      <c r="Z2" s="3">
        <v>158489</v>
      </c>
      <c r="AA2" s="3">
        <v>165380</v>
      </c>
      <c r="AB2" s="3">
        <v>172272</v>
      </c>
      <c r="AC2" s="3">
        <v>179166</v>
      </c>
      <c r="AD2" s="3">
        <v>186063</v>
      </c>
      <c r="AE2" s="3">
        <v>192962</v>
      </c>
      <c r="AF2" s="3">
        <v>199862</v>
      </c>
      <c r="AG2" s="3">
        <v>206764</v>
      </c>
      <c r="AH2" s="3">
        <v>213667</v>
      </c>
      <c r="AI2" s="3">
        <f>_xlfn.FORECAST.LINEAR(AI1,B2:AH2,B1:AH1)</f>
        <v>220115.1022727266</v>
      </c>
      <c r="AJ2" s="3">
        <f t="shared" ref="AJ2:BB2" si="0">_xlfn.FORECAST.LINEAR(AJ1,C2:AI2,C1:AI1)</f>
        <v>227361.56732093729</v>
      </c>
      <c r="AK2" s="3">
        <f t="shared" si="0"/>
        <v>234235.73777874373</v>
      </c>
      <c r="AL2" s="3">
        <f t="shared" si="0"/>
        <v>241113.20787165873</v>
      </c>
      <c r="AM2" s="3">
        <f t="shared" si="0"/>
        <v>247989.40878390893</v>
      </c>
      <c r="AN2" s="3">
        <f t="shared" si="0"/>
        <v>254865.29006504081</v>
      </c>
      <c r="AO2" s="3">
        <f t="shared" si="0"/>
        <v>261741.08645155281</v>
      </c>
      <c r="AP2" s="3">
        <f t="shared" si="0"/>
        <v>268617.20688833296</v>
      </c>
      <c r="AQ2" s="3">
        <f t="shared" si="0"/>
        <v>275494.19938685745</v>
      </c>
      <c r="AR2" s="3">
        <f t="shared" si="0"/>
        <v>282372.50608848594</v>
      </c>
      <c r="AS2" s="3">
        <f t="shared" si="0"/>
        <v>289252.29769682698</v>
      </c>
      <c r="AT2" s="3">
        <f t="shared" si="0"/>
        <v>296132.87935188785</v>
      </c>
      <c r="AU2" s="3">
        <f t="shared" si="0"/>
        <v>303014.36694034375</v>
      </c>
      <c r="AV2" s="3">
        <f t="shared" si="0"/>
        <v>309897.01280078292</v>
      </c>
      <c r="AW2" s="3">
        <f t="shared" si="0"/>
        <v>316779.70834729634</v>
      </c>
      <c r="AX2" s="3">
        <f t="shared" si="0"/>
        <v>323662.34987216629</v>
      </c>
      <c r="AY2" s="3">
        <f t="shared" si="0"/>
        <v>330544.74884505011</v>
      </c>
      <c r="AZ2" s="3">
        <f t="shared" si="0"/>
        <v>337426.88169037178</v>
      </c>
      <c r="BA2" s="3">
        <f t="shared" si="0"/>
        <v>344308.72903487273</v>
      </c>
      <c r="BB2" s="3">
        <f t="shared" si="0"/>
        <v>351190.40892667882</v>
      </c>
    </row>
    <row r="5" spans="1:54" ht="1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</row>
    <row r="6" spans="1:54" ht="15">
      <c r="A6" s="1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C3D16-B83D-4A6D-B504-E642B89301D6}">
  <sheetPr>
    <tabColor theme="3"/>
  </sheetPr>
  <dimension ref="A1:AH2"/>
  <sheetViews>
    <sheetView workbookViewId="0">
      <selection activeCell="I7" sqref="I7"/>
    </sheetView>
  </sheetViews>
  <sheetFormatPr defaultRowHeight="14.45"/>
  <cols>
    <col min="1" max="1" width="33.140625" customWidth="1"/>
    <col min="2" max="2" width="17.140625" customWidth="1"/>
  </cols>
  <sheetData>
    <row r="1" spans="1:34">
      <c r="A1" s="5" t="s">
        <v>60</v>
      </c>
      <c r="B1" s="6" t="s">
        <v>61</v>
      </c>
    </row>
    <row r="2" spans="1:34">
      <c r="A2" t="s">
        <v>62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60EFDA-6A23-4BB6-8EEB-E3AAAD8EB393}"/>
</file>

<file path=customXml/itemProps2.xml><?xml version="1.0" encoding="utf-8"?>
<ds:datastoreItem xmlns:ds="http://schemas.openxmlformats.org/officeDocument/2006/customXml" ds:itemID="{5277275B-C7C9-4405-AF95-F47A24312091}"/>
</file>

<file path=customXml/itemProps3.xml><?xml version="1.0" encoding="utf-8"?>
<ds:datastoreItem xmlns:ds="http://schemas.openxmlformats.org/officeDocument/2006/customXml" ds:itemID="{A1755C1A-7925-4EEC-8B8F-3C5C4B9A6F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Devadathan Biju</cp:lastModifiedBy>
  <cp:revision/>
  <dcterms:created xsi:type="dcterms:W3CDTF">2014-08-26T00:34:41Z</dcterms:created>
  <dcterms:modified xsi:type="dcterms:W3CDTF">2024-10-30T12:39:35Z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